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Assignment 1\Problem Statement and Data\"/>
    </mc:Choice>
  </mc:AlternateContent>
  <xr:revisionPtr revIDLastSave="0" documentId="13_ncr:1_{ED77E5F5-B6FC-4D77-B3D8-8B931D3D30C3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Body Weight" sheetId="5" r:id="rId1"/>
    <sheet name="Blood Glucose" sheetId="6" r:id="rId2"/>
    <sheet name="Clinical chemistry" sheetId="1" r:id="rId3"/>
    <sheet name="Hematology" sheetId="2" r:id="rId4"/>
    <sheet name="DXA" sheetId="4" r:id="rId5"/>
    <sheet name="Spleen - Flow Cytometry" sheetId="3" r:id="rId6"/>
  </sheets>
  <definedNames>
    <definedName name="_xlnm._FilterDatabase" localSheetId="2" hidden="1">'Clinical chemistry'!$A$1:$Z$98</definedName>
    <definedName name="_xlnm._FilterDatabase" localSheetId="3" hidden="1">Hematology!$A$1:$AG$69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15" i="6" l="1"/>
  <c r="G115" i="6"/>
  <c r="H115" i="6"/>
  <c r="I115" i="6"/>
  <c r="J115" i="6"/>
  <c r="K115" i="6"/>
  <c r="L115" i="6"/>
  <c r="M115" i="6"/>
  <c r="N115" i="6"/>
  <c r="F114" i="6"/>
  <c r="G114" i="6"/>
  <c r="H114" i="6"/>
  <c r="I114" i="6"/>
  <c r="J114" i="6"/>
  <c r="K114" i="6"/>
  <c r="L114" i="6"/>
  <c r="M114" i="6"/>
  <c r="N11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3" i="6"/>
  <c r="E115" i="6"/>
  <c r="E114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65" i="6"/>
  <c r="J65" i="6"/>
  <c r="L64" i="6"/>
  <c r="J64" i="6"/>
  <c r="L63" i="6"/>
  <c r="J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29" i="6"/>
  <c r="C30" i="6"/>
  <c r="C31" i="6"/>
  <c r="C35" i="6"/>
  <c r="C36" i="6"/>
  <c r="C42" i="6"/>
  <c r="C43" i="6"/>
  <c r="C44" i="6"/>
  <c r="C45" i="6"/>
  <c r="C46" i="6"/>
  <c r="C47" i="6"/>
  <c r="C48" i="6"/>
  <c r="C49" i="6"/>
  <c r="C57" i="6"/>
  <c r="C58" i="6"/>
  <c r="C59" i="6"/>
  <c r="C60" i="6"/>
  <c r="C61" i="6"/>
  <c r="C62" i="6"/>
</calcChain>
</file>

<file path=xl/sharedStrings.xml><?xml version="1.0" encoding="utf-8"?>
<sst xmlns="http://schemas.openxmlformats.org/spreadsheetml/2006/main" count="683" uniqueCount="73">
  <si>
    <t>ALB g/dL</t>
  </si>
  <si>
    <t>ALT IU/L</t>
  </si>
  <si>
    <t>BUN mg/dL</t>
  </si>
  <si>
    <t>CAL mg/dL</t>
  </si>
  <si>
    <t>CHOL mg/dL</t>
  </si>
  <si>
    <t>CK IU/L</t>
  </si>
  <si>
    <t>GLU mg/dL</t>
  </si>
  <si>
    <t>HDLX mg/dL</t>
  </si>
  <si>
    <t>PHOS mg/dL</t>
  </si>
  <si>
    <t>T4 ug/dL</t>
  </si>
  <si>
    <t>TP g/dL</t>
  </si>
  <si>
    <t>TRIG mg/dL</t>
  </si>
  <si>
    <t>NA mmol/L</t>
  </si>
  <si>
    <t>K mmol/L</t>
  </si>
  <si>
    <t>CL mmol/L</t>
  </si>
  <si>
    <t>CO2 mmol/L</t>
  </si>
  <si>
    <t>NEFA mEq/L</t>
  </si>
  <si>
    <t>Strain</t>
  </si>
  <si>
    <t>Sex</t>
  </si>
  <si>
    <t>Age</t>
  </si>
  <si>
    <t>Room</t>
  </si>
  <si>
    <t>MP23</t>
  </si>
  <si>
    <t>F</t>
  </si>
  <si>
    <t>M</t>
  </si>
  <si>
    <t>RB01</t>
  </si>
  <si>
    <t>Mouse ID</t>
  </si>
  <si>
    <t>WBC x10^3/uL</t>
  </si>
  <si>
    <t>RBC x10^6/uL</t>
  </si>
  <si>
    <t>HGB g/dL</t>
  </si>
  <si>
    <t>HCT %</t>
  </si>
  <si>
    <t>MCV fL</t>
  </si>
  <si>
    <t>MCH pg</t>
  </si>
  <si>
    <t>MCHC g/dL</t>
  </si>
  <si>
    <t>PLT x10^3/uL</t>
  </si>
  <si>
    <t>MPV fL</t>
  </si>
  <si>
    <t xml:space="preserve">%NEUT </t>
  </si>
  <si>
    <t xml:space="preserve">%LYMPH </t>
  </si>
  <si>
    <t xml:space="preserve">%MONO </t>
  </si>
  <si>
    <t xml:space="preserve">%EOS </t>
  </si>
  <si>
    <t xml:space="preserve">%BASO </t>
  </si>
  <si>
    <t xml:space="preserve">%RETIC </t>
  </si>
  <si>
    <t>#RETIC 10^9cells/L</t>
  </si>
  <si>
    <t>CHR pg</t>
  </si>
  <si>
    <t>#NEUT 10^3cells/ul</t>
  </si>
  <si>
    <t>#LYMPH 10^3cells/ul</t>
  </si>
  <si>
    <t>#MONO 10^3cells/ul</t>
  </si>
  <si>
    <t>#EOS 10^3cells/ul</t>
  </si>
  <si>
    <t>#BASO 10^3cells/ul</t>
  </si>
  <si>
    <t>Age (w)</t>
  </si>
  <si>
    <t>Bone Mineral Content (g)</t>
  </si>
  <si>
    <t>Lean Tissue (g)</t>
  </si>
  <si>
    <t>Fat Tissue (g)</t>
  </si>
  <si>
    <t>% Fat Tissue</t>
  </si>
  <si>
    <t>% Viable cells of total events</t>
  </si>
  <si>
    <t>% B Cells of Viable Cells</t>
  </si>
  <si>
    <t>% T cells of Viable Cells</t>
  </si>
  <si>
    <t>% CD4 T Cells of Viable Cells</t>
  </si>
  <si>
    <t>% CD8 T Cells of Viable Cells</t>
  </si>
  <si>
    <t>% NK T Cells of Viable Cells</t>
  </si>
  <si>
    <t>% NK Cells of Viable Cells</t>
  </si>
  <si>
    <t>% Monocytes of Viable Cells</t>
  </si>
  <si>
    <t>% Neutrophils (Granulocytes) of Viable Cells</t>
  </si>
  <si>
    <t>% Eosinophils of Viable Cells</t>
  </si>
  <si>
    <t>% DC of Viable Cells</t>
  </si>
  <si>
    <t>% CD25+ of CD4 T Cells</t>
  </si>
  <si>
    <t>% Plasmacytoid DC</t>
  </si>
  <si>
    <t>Scale BW</t>
  </si>
  <si>
    <r>
      <t>Bone Mineral Density (g/cm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)</t>
    </r>
  </si>
  <si>
    <r>
      <t>Bone Area (cm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)</t>
    </r>
  </si>
  <si>
    <t>Age (weeks)</t>
  </si>
  <si>
    <t>Age (wks)</t>
  </si>
  <si>
    <t>For comparison using Box Plots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</si>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</sst>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00"/>
    <numFmt numFmtId="167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6" fontId="3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2" fontId="3" fillId="2" borderId="0" xfId="0" applyNumberFormat="1" applyFont="1" applyFill="1" applyAlignment="1">
      <alignment horizontal="center" vertical="center" wrapText="1"/>
    </xf>
    <xf numFmtId="2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workbookViewId="0">
      <selection activeCell="V11" sqref="U10:V11"/>
    </sheetView>
  </sheetViews>
  <sheetFormatPr defaultColWidth="8.85546875" defaultRowHeight="15" x14ac:dyDescent="0.25"/>
  <cols>
    <col min="1" max="1" width="5.85546875" style="19" bestFit="1" customWidth="1"/>
    <col min="2" max="2" width="5.140625" style="19" customWidth="1"/>
    <col min="3" max="3" width="8.5703125" style="19" bestFit="1" customWidth="1"/>
    <col min="4" max="6" width="4.42578125" style="19" bestFit="1" customWidth="1"/>
    <col min="7" max="7" width="5.85546875" style="19" customWidth="1"/>
    <col min="8" max="12" width="4.42578125" style="19" bestFit="1" customWidth="1"/>
    <col min="13" max="13" width="4.42578125" style="25" bestFit="1" customWidth="1"/>
    <col min="14" max="17" width="4.42578125" style="19" bestFit="1" customWidth="1"/>
    <col min="18" max="16384" width="8.85546875" style="19"/>
  </cols>
  <sheetData>
    <row r="1" spans="1:17" x14ac:dyDescent="0.25">
      <c r="D1" s="29" t="s">
        <v>69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30" x14ac:dyDescent="0.25">
      <c r="A2" s="21" t="s">
        <v>17</v>
      </c>
      <c r="B2" s="21" t="s">
        <v>18</v>
      </c>
      <c r="C2" s="17" t="s">
        <v>25</v>
      </c>
      <c r="D2" s="17">
        <v>3</v>
      </c>
      <c r="E2" s="17">
        <v>4</v>
      </c>
      <c r="F2" s="17">
        <v>5</v>
      </c>
      <c r="G2" s="17">
        <v>6</v>
      </c>
      <c r="H2" s="18">
        <v>7</v>
      </c>
      <c r="I2" s="18">
        <v>8</v>
      </c>
      <c r="J2" s="18">
        <v>9</v>
      </c>
      <c r="K2" s="18">
        <v>10</v>
      </c>
      <c r="L2" s="18">
        <v>11</v>
      </c>
      <c r="M2" s="18">
        <v>12</v>
      </c>
      <c r="N2" s="18">
        <v>13</v>
      </c>
      <c r="O2" s="18">
        <v>14</v>
      </c>
      <c r="P2" s="18">
        <v>15</v>
      </c>
      <c r="Q2" s="18">
        <v>16</v>
      </c>
    </row>
    <row r="3" spans="1:17" ht="14.45" customHeight="1" x14ac:dyDescent="0.25">
      <c r="A3" s="19">
        <v>1976</v>
      </c>
      <c r="B3" s="19" t="s">
        <v>22</v>
      </c>
      <c r="C3" s="19">
        <v>1</v>
      </c>
      <c r="D3" s="20">
        <v>9.6199999999999992</v>
      </c>
      <c r="E3" s="20">
        <v>15.88</v>
      </c>
      <c r="F3" s="20">
        <v>17.09</v>
      </c>
      <c r="G3" s="20">
        <v>17.739999999999998</v>
      </c>
      <c r="H3" s="20">
        <v>18.579999999999998</v>
      </c>
      <c r="I3" s="20">
        <v>19.309999999999999</v>
      </c>
      <c r="J3" s="20">
        <v>19.39</v>
      </c>
      <c r="K3" s="20">
        <v>20.53</v>
      </c>
      <c r="L3" s="20">
        <v>20.440000000000001</v>
      </c>
      <c r="M3" s="20">
        <v>21.81</v>
      </c>
      <c r="N3" s="20">
        <v>22.87</v>
      </c>
      <c r="O3" s="20">
        <v>22.63</v>
      </c>
      <c r="P3" s="20">
        <v>22.91</v>
      </c>
      <c r="Q3" s="20">
        <v>22.9</v>
      </c>
    </row>
    <row r="4" spans="1:17" x14ac:dyDescent="0.25">
      <c r="A4" s="19">
        <v>1976</v>
      </c>
      <c r="B4" s="19" t="s">
        <v>22</v>
      </c>
      <c r="C4" s="19">
        <v>2</v>
      </c>
      <c r="D4" s="20">
        <v>14.59</v>
      </c>
      <c r="E4" s="20">
        <v>17.170000000000002</v>
      </c>
      <c r="F4" s="20">
        <v>16.43</v>
      </c>
      <c r="G4" s="20">
        <v>17.71</v>
      </c>
      <c r="H4" s="20">
        <v>18.61</v>
      </c>
      <c r="I4" s="20">
        <v>19.32</v>
      </c>
      <c r="J4" s="20">
        <v>20.98</v>
      </c>
      <c r="K4" s="20">
        <v>20.81</v>
      </c>
      <c r="L4" s="20">
        <v>20.84</v>
      </c>
      <c r="M4" s="20">
        <v>21.59</v>
      </c>
      <c r="N4" s="20">
        <v>21.94</v>
      </c>
      <c r="O4" s="20">
        <v>22.41</v>
      </c>
      <c r="P4" s="20">
        <v>22.87</v>
      </c>
      <c r="Q4" s="20">
        <v>22.35</v>
      </c>
    </row>
    <row r="5" spans="1:17" x14ac:dyDescent="0.25">
      <c r="A5" s="19">
        <v>1976</v>
      </c>
      <c r="B5" s="19" t="s">
        <v>22</v>
      </c>
      <c r="C5" s="19">
        <v>3</v>
      </c>
      <c r="D5" s="20">
        <v>13.55</v>
      </c>
      <c r="E5" s="20">
        <v>17.45</v>
      </c>
      <c r="F5" s="20">
        <v>16.61</v>
      </c>
      <c r="G5" s="20">
        <v>16.940000000000001</v>
      </c>
      <c r="H5" s="20">
        <v>18.28</v>
      </c>
      <c r="I5" s="20">
        <v>19.690000000000001</v>
      </c>
      <c r="J5" s="20">
        <v>20.04</v>
      </c>
      <c r="K5" s="20">
        <v>21.19</v>
      </c>
      <c r="L5" s="20">
        <v>23.02</v>
      </c>
      <c r="M5" s="20">
        <v>22.48</v>
      </c>
      <c r="N5" s="20">
        <v>23.2</v>
      </c>
      <c r="O5" s="20">
        <v>23.74</v>
      </c>
      <c r="P5" s="20">
        <v>23.55</v>
      </c>
      <c r="Q5" s="20">
        <v>23.17</v>
      </c>
    </row>
    <row r="6" spans="1:17" x14ac:dyDescent="0.25">
      <c r="A6" s="19">
        <v>1976</v>
      </c>
      <c r="B6" s="19" t="s">
        <v>22</v>
      </c>
      <c r="C6" s="19">
        <v>4</v>
      </c>
      <c r="D6" s="20">
        <v>14.4</v>
      </c>
      <c r="E6" s="20">
        <v>17.39</v>
      </c>
      <c r="F6" s="20">
        <v>16.149999999999999</v>
      </c>
      <c r="G6" s="20">
        <v>17.399999999999999</v>
      </c>
      <c r="H6" s="20">
        <v>17.41</v>
      </c>
      <c r="I6" s="20">
        <v>18.32</v>
      </c>
      <c r="J6" s="20">
        <v>17.86</v>
      </c>
      <c r="K6" s="20">
        <v>18.97</v>
      </c>
      <c r="L6" s="20">
        <v>19.579999999999998</v>
      </c>
      <c r="M6" s="20">
        <v>20.92</v>
      </c>
      <c r="N6" s="20">
        <v>20.93</v>
      </c>
      <c r="O6" s="20">
        <v>21.22</v>
      </c>
      <c r="P6" s="20">
        <v>21.08</v>
      </c>
      <c r="Q6" s="20">
        <v>21.63</v>
      </c>
    </row>
    <row r="7" spans="1:17" x14ac:dyDescent="0.25">
      <c r="A7" s="19">
        <v>1976</v>
      </c>
      <c r="B7" s="19" t="s">
        <v>22</v>
      </c>
      <c r="C7" s="19">
        <v>5</v>
      </c>
      <c r="D7" s="20">
        <v>15.39</v>
      </c>
      <c r="E7" s="20">
        <v>17.93</v>
      </c>
      <c r="F7" s="20">
        <v>17.760000000000002</v>
      </c>
      <c r="G7" s="20">
        <v>16.32</v>
      </c>
      <c r="H7" s="20">
        <v>19.86</v>
      </c>
      <c r="I7" s="20">
        <v>20.88</v>
      </c>
      <c r="J7" s="20">
        <v>20.65</v>
      </c>
      <c r="K7" s="20">
        <v>21.81</v>
      </c>
      <c r="L7" s="20">
        <v>19.75</v>
      </c>
      <c r="M7" s="20">
        <v>20.64</v>
      </c>
      <c r="N7" s="20">
        <v>20.49</v>
      </c>
      <c r="O7" s="20">
        <v>20.71</v>
      </c>
      <c r="P7" s="20">
        <v>21.48</v>
      </c>
      <c r="Q7" s="20">
        <v>21.47</v>
      </c>
    </row>
    <row r="8" spans="1:17" x14ac:dyDescent="0.25">
      <c r="A8" s="19">
        <v>1976</v>
      </c>
      <c r="B8" s="19" t="s">
        <v>22</v>
      </c>
      <c r="C8" s="19">
        <v>6</v>
      </c>
      <c r="D8" s="20">
        <v>9.6300000000000008</v>
      </c>
      <c r="E8" s="20">
        <v>16.72</v>
      </c>
      <c r="F8" s="20">
        <v>18.36</v>
      </c>
      <c r="G8" s="20">
        <v>18.64</v>
      </c>
      <c r="H8" s="20">
        <v>19.34</v>
      </c>
      <c r="I8" s="20">
        <v>19.899999999999999</v>
      </c>
      <c r="J8" s="20">
        <v>20.99</v>
      </c>
      <c r="K8" s="20">
        <v>21.49</v>
      </c>
      <c r="L8" s="20">
        <v>22.05</v>
      </c>
      <c r="M8" s="20">
        <v>22.64</v>
      </c>
      <c r="N8" s="20">
        <v>23.42</v>
      </c>
      <c r="O8" s="20">
        <v>22.97</v>
      </c>
      <c r="P8" s="20">
        <v>23.35</v>
      </c>
      <c r="Q8" s="20">
        <v>22.73</v>
      </c>
    </row>
    <row r="9" spans="1:17" x14ac:dyDescent="0.25">
      <c r="A9" s="19">
        <v>1976</v>
      </c>
      <c r="B9" s="19" t="s">
        <v>22</v>
      </c>
      <c r="C9" s="19">
        <v>7</v>
      </c>
      <c r="D9" s="20">
        <v>13.35</v>
      </c>
      <c r="E9" s="20">
        <v>16.48</v>
      </c>
      <c r="F9" s="20">
        <v>15.57</v>
      </c>
      <c r="G9" s="20">
        <v>17.43</v>
      </c>
      <c r="H9" s="20">
        <v>17.46</v>
      </c>
      <c r="I9" s="20">
        <v>18.34</v>
      </c>
      <c r="J9" s="20">
        <v>18.66</v>
      </c>
      <c r="K9" s="20">
        <v>18.46</v>
      </c>
      <c r="L9" s="20">
        <v>22.36</v>
      </c>
      <c r="M9" s="20">
        <v>23.01</v>
      </c>
      <c r="N9" s="20">
        <v>22.67</v>
      </c>
      <c r="O9" s="20">
        <v>21.92</v>
      </c>
      <c r="P9" s="20">
        <v>22.12</v>
      </c>
      <c r="Q9" s="20">
        <v>22.23</v>
      </c>
    </row>
    <row r="10" spans="1:17" x14ac:dyDescent="0.25">
      <c r="A10" s="19">
        <v>1976</v>
      </c>
      <c r="B10" s="19" t="s">
        <v>22</v>
      </c>
      <c r="C10" s="19">
        <v>8</v>
      </c>
      <c r="D10" s="20">
        <v>13.67</v>
      </c>
      <c r="E10" s="20">
        <v>17.37</v>
      </c>
      <c r="F10" s="20">
        <v>15.96</v>
      </c>
      <c r="G10" s="20">
        <v>18.78</v>
      </c>
      <c r="H10" s="20">
        <v>17.47</v>
      </c>
      <c r="I10" s="20">
        <v>18.27</v>
      </c>
      <c r="J10" s="20">
        <v>18.489999999999998</v>
      </c>
      <c r="K10" s="20">
        <v>19.059999999999999</v>
      </c>
      <c r="L10" s="20">
        <v>19.309999999999999</v>
      </c>
      <c r="M10" s="20">
        <v>20.36</v>
      </c>
      <c r="N10" s="20">
        <v>22.64</v>
      </c>
      <c r="O10" s="20">
        <v>20.399999999999999</v>
      </c>
      <c r="P10" s="20">
        <v>20.420000000000002</v>
      </c>
      <c r="Q10" s="20">
        <v>21.1</v>
      </c>
    </row>
    <row r="11" spans="1:17" ht="14.45" customHeight="1" x14ac:dyDescent="0.25">
      <c r="A11" s="19">
        <v>1976</v>
      </c>
      <c r="B11" s="19" t="s">
        <v>22</v>
      </c>
      <c r="C11" s="19">
        <v>9</v>
      </c>
      <c r="D11" s="20">
        <v>14.29</v>
      </c>
      <c r="E11" s="20">
        <v>16.88</v>
      </c>
      <c r="F11" s="20">
        <v>16.98</v>
      </c>
      <c r="G11" s="20">
        <v>19.899999999999999</v>
      </c>
      <c r="H11" s="20">
        <v>19.39</v>
      </c>
      <c r="I11" s="20">
        <v>20.010000000000002</v>
      </c>
      <c r="J11" s="20">
        <v>20.56</v>
      </c>
      <c r="K11" s="20">
        <v>21.87</v>
      </c>
      <c r="L11" s="20">
        <v>22.23</v>
      </c>
      <c r="M11" s="20">
        <v>22.68</v>
      </c>
      <c r="N11" s="20">
        <v>22.33</v>
      </c>
      <c r="O11" s="20">
        <v>22.55</v>
      </c>
      <c r="P11" s="20">
        <v>22.53</v>
      </c>
      <c r="Q11" s="20">
        <v>22.34</v>
      </c>
    </row>
    <row r="12" spans="1:17" ht="15" customHeight="1" x14ac:dyDescent="0.25">
      <c r="A12" s="19">
        <v>1976</v>
      </c>
      <c r="B12" s="19" t="s">
        <v>22</v>
      </c>
      <c r="C12" s="19">
        <v>10</v>
      </c>
      <c r="D12" s="20">
        <v>15.13</v>
      </c>
      <c r="E12" s="20">
        <v>17.61</v>
      </c>
      <c r="F12" s="20">
        <v>18.86</v>
      </c>
      <c r="G12" s="20">
        <v>18.2</v>
      </c>
      <c r="H12" s="20">
        <v>21.04</v>
      </c>
      <c r="I12" s="20">
        <v>21.5</v>
      </c>
      <c r="J12" s="20">
        <v>22.77</v>
      </c>
      <c r="K12" s="20">
        <v>23.35</v>
      </c>
      <c r="L12" s="20">
        <v>24.57</v>
      </c>
      <c r="M12" s="20">
        <v>24.87</v>
      </c>
      <c r="N12" s="20">
        <v>26.57</v>
      </c>
      <c r="O12" s="20">
        <v>23.85</v>
      </c>
      <c r="P12" s="20">
        <v>26.5</v>
      </c>
      <c r="Q12" s="20">
        <v>25.26</v>
      </c>
    </row>
    <row r="13" spans="1:17" ht="15" customHeight="1" x14ac:dyDescent="0.25">
      <c r="A13" s="19">
        <v>1976</v>
      </c>
      <c r="B13" s="19" t="s">
        <v>22</v>
      </c>
      <c r="C13" s="19">
        <v>11</v>
      </c>
      <c r="D13" s="20">
        <v>15.38</v>
      </c>
      <c r="E13" s="20">
        <v>17.2</v>
      </c>
      <c r="F13" s="20">
        <v>16.559999999999999</v>
      </c>
      <c r="G13" s="20">
        <v>18.14</v>
      </c>
      <c r="H13" s="20">
        <v>18.45</v>
      </c>
      <c r="I13" s="20">
        <v>18.73</v>
      </c>
      <c r="J13" s="20">
        <v>19.93</v>
      </c>
      <c r="K13" s="20">
        <v>20.21</v>
      </c>
      <c r="L13" s="20">
        <v>21.6</v>
      </c>
      <c r="M13" s="20">
        <v>23.26</v>
      </c>
      <c r="N13" s="20">
        <v>23.53</v>
      </c>
      <c r="O13" s="20">
        <v>23.6</v>
      </c>
      <c r="P13" s="20">
        <v>23.74</v>
      </c>
      <c r="Q13" s="20">
        <v>22.93</v>
      </c>
    </row>
    <row r="14" spans="1:17" ht="15" customHeight="1" x14ac:dyDescent="0.25">
      <c r="A14" s="19">
        <v>1976</v>
      </c>
      <c r="B14" s="19" t="s">
        <v>22</v>
      </c>
      <c r="C14" s="19">
        <v>12</v>
      </c>
      <c r="D14" s="20">
        <v>14.42</v>
      </c>
      <c r="E14" s="20">
        <v>16.66</v>
      </c>
      <c r="F14" s="20">
        <v>16.899999999999999</v>
      </c>
      <c r="G14" s="20">
        <v>18.22</v>
      </c>
      <c r="H14" s="20">
        <v>19.78</v>
      </c>
      <c r="I14" s="20">
        <v>20.6</v>
      </c>
      <c r="J14" s="20">
        <v>21.7</v>
      </c>
      <c r="K14" s="20">
        <v>21.97</v>
      </c>
      <c r="L14" s="20">
        <v>22.69</v>
      </c>
      <c r="M14" s="20">
        <v>23.61</v>
      </c>
      <c r="N14" s="20">
        <v>22.68</v>
      </c>
      <c r="O14" s="20">
        <v>21.98</v>
      </c>
      <c r="P14" s="20">
        <v>21.96</v>
      </c>
      <c r="Q14" s="20">
        <v>23.59</v>
      </c>
    </row>
    <row r="15" spans="1:17" ht="15" customHeight="1" x14ac:dyDescent="0.25">
      <c r="A15" s="19">
        <v>1976</v>
      </c>
      <c r="B15" s="19" t="s">
        <v>22</v>
      </c>
      <c r="C15" s="19">
        <v>13</v>
      </c>
      <c r="D15" s="20">
        <v>12.98</v>
      </c>
      <c r="E15" s="20">
        <v>14.89</v>
      </c>
      <c r="F15" s="20">
        <v>16.87</v>
      </c>
      <c r="G15" s="20">
        <v>18.64</v>
      </c>
      <c r="H15" s="20">
        <v>19.68</v>
      </c>
      <c r="I15" s="20">
        <v>20.48</v>
      </c>
      <c r="J15" s="20">
        <v>20.88</v>
      </c>
      <c r="K15" s="20">
        <v>22.16</v>
      </c>
      <c r="L15" s="20">
        <v>22.5</v>
      </c>
      <c r="M15" s="20">
        <v>22.95</v>
      </c>
      <c r="N15" s="20">
        <v>23.2</v>
      </c>
      <c r="O15" s="20">
        <v>23.68</v>
      </c>
      <c r="P15" s="20">
        <v>23.06</v>
      </c>
      <c r="Q15" s="20">
        <v>23.93</v>
      </c>
    </row>
    <row r="16" spans="1:17" ht="15" customHeight="1" x14ac:dyDescent="0.25">
      <c r="A16" s="19">
        <v>1976</v>
      </c>
      <c r="B16" s="19" t="s">
        <v>22</v>
      </c>
      <c r="C16" s="19">
        <v>14</v>
      </c>
      <c r="D16" s="20">
        <v>14.03</v>
      </c>
      <c r="E16" s="20">
        <v>17.96</v>
      </c>
      <c r="F16" s="20">
        <v>17.73</v>
      </c>
      <c r="G16" s="20">
        <v>17.75</v>
      </c>
      <c r="H16" s="20">
        <v>19.559999999999999</v>
      </c>
      <c r="I16" s="20">
        <v>20.78</v>
      </c>
      <c r="J16" s="20">
        <v>22.28</v>
      </c>
      <c r="K16" s="20">
        <v>22.74</v>
      </c>
      <c r="L16" s="20">
        <v>22.89</v>
      </c>
      <c r="M16" s="20">
        <v>24.41</v>
      </c>
      <c r="N16" s="20">
        <v>25.15</v>
      </c>
      <c r="O16" s="20">
        <v>25.14</v>
      </c>
      <c r="P16" s="20">
        <v>26.83</v>
      </c>
      <c r="Q16" s="20">
        <v>27.4</v>
      </c>
    </row>
    <row r="17" spans="1:17" ht="15" customHeight="1" x14ac:dyDescent="0.25">
      <c r="A17" s="19">
        <v>1976</v>
      </c>
      <c r="B17" s="19" t="s">
        <v>22</v>
      </c>
      <c r="C17" s="19">
        <v>15</v>
      </c>
      <c r="D17" s="20">
        <v>14.95</v>
      </c>
      <c r="E17" s="20">
        <v>16.48</v>
      </c>
      <c r="F17" s="20">
        <v>16.32</v>
      </c>
      <c r="G17" s="20">
        <v>18.59</v>
      </c>
      <c r="H17" s="20">
        <v>17.940000000000001</v>
      </c>
      <c r="I17" s="20">
        <v>18.13</v>
      </c>
      <c r="J17" s="20">
        <v>19.079999999999998</v>
      </c>
      <c r="K17" s="20">
        <v>19.55</v>
      </c>
      <c r="L17" s="20">
        <v>20.34</v>
      </c>
      <c r="M17" s="20">
        <v>20.45</v>
      </c>
      <c r="N17" s="20">
        <v>21.28</v>
      </c>
      <c r="O17" s="20">
        <v>22.14</v>
      </c>
      <c r="P17" s="20">
        <v>22.69</v>
      </c>
      <c r="Q17" s="20">
        <v>22.12</v>
      </c>
    </row>
    <row r="18" spans="1:17" ht="15" customHeight="1" x14ac:dyDescent="0.25">
      <c r="A18" s="19">
        <v>1976</v>
      </c>
      <c r="B18" s="19" t="s">
        <v>22</v>
      </c>
      <c r="C18" s="19">
        <v>16</v>
      </c>
      <c r="D18" s="20">
        <v>11.49</v>
      </c>
      <c r="E18" s="20">
        <v>18.41</v>
      </c>
      <c r="F18" s="20">
        <v>16.73</v>
      </c>
      <c r="G18" s="20">
        <v>17.59</v>
      </c>
      <c r="H18" s="20">
        <v>19.54</v>
      </c>
      <c r="I18" s="20">
        <v>20.13</v>
      </c>
      <c r="J18" s="20">
        <v>21.32</v>
      </c>
      <c r="K18" s="20">
        <v>22.76</v>
      </c>
      <c r="L18" s="20">
        <v>23.74</v>
      </c>
      <c r="M18" s="20">
        <v>23.94</v>
      </c>
      <c r="N18" s="20">
        <v>23.1</v>
      </c>
      <c r="O18" s="20">
        <v>24.15</v>
      </c>
      <c r="P18" s="20">
        <v>24.62</v>
      </c>
      <c r="Q18" s="20">
        <v>24.33</v>
      </c>
    </row>
    <row r="19" spans="1:17" x14ac:dyDescent="0.25">
      <c r="A19" s="19">
        <v>1976</v>
      </c>
      <c r="B19" s="19" t="s">
        <v>22</v>
      </c>
      <c r="C19" s="19">
        <v>17</v>
      </c>
      <c r="D19" s="20">
        <v>12.07</v>
      </c>
      <c r="E19" s="20">
        <v>18.579999999999998</v>
      </c>
      <c r="F19" s="20">
        <v>19.399999999999999</v>
      </c>
      <c r="G19" s="20">
        <v>17.36</v>
      </c>
      <c r="H19" s="20">
        <v>22.5</v>
      </c>
      <c r="I19" s="20">
        <v>22</v>
      </c>
      <c r="J19" s="20">
        <v>23.72</v>
      </c>
      <c r="K19" s="20">
        <v>23.28</v>
      </c>
      <c r="L19" s="20">
        <v>23.68</v>
      </c>
      <c r="M19" s="20">
        <v>25.38</v>
      </c>
      <c r="N19" s="20">
        <v>25.83</v>
      </c>
      <c r="O19" s="20">
        <v>26.2</v>
      </c>
      <c r="P19" s="20">
        <v>25.89</v>
      </c>
      <c r="Q19" s="20">
        <v>24.27</v>
      </c>
    </row>
    <row r="20" spans="1:17" x14ac:dyDescent="0.25">
      <c r="A20" s="19">
        <v>1976</v>
      </c>
      <c r="B20" s="19" t="s">
        <v>22</v>
      </c>
      <c r="C20" s="19">
        <v>18</v>
      </c>
      <c r="D20" s="20">
        <v>11.86</v>
      </c>
      <c r="E20" s="20">
        <v>16.93</v>
      </c>
      <c r="F20" s="20">
        <v>17.21</v>
      </c>
      <c r="G20" s="20">
        <v>20.86</v>
      </c>
      <c r="H20" s="20">
        <v>21.48</v>
      </c>
      <c r="I20" s="20">
        <v>21.81</v>
      </c>
      <c r="J20" s="20">
        <v>23.42</v>
      </c>
      <c r="K20" s="20">
        <v>23.55</v>
      </c>
      <c r="L20" s="20">
        <v>23.92</v>
      </c>
      <c r="M20" s="20">
        <v>24.42</v>
      </c>
      <c r="N20" s="20">
        <v>25.51</v>
      </c>
      <c r="O20" s="20">
        <v>25.03</v>
      </c>
      <c r="P20" s="20">
        <v>24.43</v>
      </c>
      <c r="Q20" s="20">
        <v>25.61</v>
      </c>
    </row>
    <row r="21" spans="1:17" x14ac:dyDescent="0.25">
      <c r="A21" s="19">
        <v>1976</v>
      </c>
      <c r="B21" s="19" t="s">
        <v>22</v>
      </c>
      <c r="C21" s="19">
        <v>19</v>
      </c>
      <c r="D21" s="20">
        <v>10.51</v>
      </c>
      <c r="E21" s="20">
        <v>17.059999999999999</v>
      </c>
      <c r="F21" s="20">
        <v>18.02</v>
      </c>
      <c r="G21" s="20">
        <v>17.690000000000001</v>
      </c>
      <c r="H21" s="20">
        <v>19.82</v>
      </c>
      <c r="I21" s="20">
        <v>20.239999999999998</v>
      </c>
      <c r="J21" s="20">
        <v>20.059999999999999</v>
      </c>
      <c r="K21" s="20">
        <v>20.71</v>
      </c>
      <c r="L21" s="20">
        <v>21.7</v>
      </c>
      <c r="M21" s="20">
        <v>21.5</v>
      </c>
      <c r="N21" s="20">
        <v>23.69</v>
      </c>
      <c r="O21" s="20">
        <v>23.29</v>
      </c>
      <c r="P21" s="20">
        <v>23.66</v>
      </c>
      <c r="Q21" s="20">
        <v>22.56</v>
      </c>
    </row>
    <row r="22" spans="1:17" x14ac:dyDescent="0.25">
      <c r="A22" s="19">
        <v>1976</v>
      </c>
      <c r="B22" s="19" t="s">
        <v>22</v>
      </c>
      <c r="C22" s="19">
        <v>20</v>
      </c>
      <c r="D22" s="20">
        <v>9.84</v>
      </c>
      <c r="E22" s="20">
        <v>16.22</v>
      </c>
      <c r="F22" s="20">
        <v>18.23</v>
      </c>
      <c r="G22" s="20">
        <v>21.49</v>
      </c>
      <c r="H22" s="20">
        <v>19.55</v>
      </c>
      <c r="I22" s="20">
        <v>20.39</v>
      </c>
      <c r="J22" s="20">
        <v>21.97</v>
      </c>
      <c r="K22" s="20">
        <v>22.3</v>
      </c>
      <c r="L22" s="20">
        <v>23.14</v>
      </c>
      <c r="M22" s="20">
        <v>22.97</v>
      </c>
      <c r="N22" s="20">
        <v>23.23</v>
      </c>
      <c r="O22" s="20">
        <v>23.5</v>
      </c>
      <c r="P22" s="20">
        <v>23.28</v>
      </c>
      <c r="Q22" s="20">
        <v>24.270638297872342</v>
      </c>
    </row>
    <row r="23" spans="1:17" x14ac:dyDescent="0.25">
      <c r="A23" s="19">
        <v>1976</v>
      </c>
      <c r="B23" s="19" t="s">
        <v>22</v>
      </c>
      <c r="C23" s="19">
        <v>21</v>
      </c>
      <c r="D23" s="20">
        <v>8</v>
      </c>
      <c r="E23" s="20">
        <v>14.6</v>
      </c>
      <c r="F23" s="20">
        <v>19.600000000000001</v>
      </c>
      <c r="G23" s="20">
        <v>19.3</v>
      </c>
      <c r="H23" s="20">
        <v>20.6</v>
      </c>
      <c r="I23" s="20">
        <v>22.6</v>
      </c>
      <c r="J23" s="20">
        <v>22.8</v>
      </c>
      <c r="K23" s="20">
        <v>24.6</v>
      </c>
      <c r="L23" s="20">
        <v>24.2</v>
      </c>
      <c r="M23" s="20">
        <v>23.9</v>
      </c>
      <c r="N23" s="20">
        <v>23.8</v>
      </c>
      <c r="O23" s="20">
        <v>24.5</v>
      </c>
      <c r="P23" s="20">
        <v>24.7</v>
      </c>
      <c r="Q23" s="20">
        <v>25.6</v>
      </c>
    </row>
    <row r="24" spans="1:17" x14ac:dyDescent="0.25">
      <c r="A24" s="19">
        <v>1976</v>
      </c>
      <c r="B24" s="19" t="s">
        <v>22</v>
      </c>
      <c r="C24" s="19">
        <v>22</v>
      </c>
      <c r="D24" s="20">
        <v>8.1</v>
      </c>
      <c r="E24" s="20">
        <v>14.8</v>
      </c>
      <c r="F24" s="20">
        <v>20.5</v>
      </c>
      <c r="G24" s="20">
        <v>22.4</v>
      </c>
      <c r="H24" s="20">
        <v>22.9</v>
      </c>
      <c r="I24" s="20">
        <v>25.3</v>
      </c>
      <c r="J24" s="20">
        <v>25.9</v>
      </c>
      <c r="K24" s="20">
        <v>26.3</v>
      </c>
      <c r="L24" s="20">
        <v>26.5</v>
      </c>
      <c r="M24" s="20">
        <v>26.9</v>
      </c>
      <c r="N24" s="20">
        <v>28</v>
      </c>
      <c r="O24" s="20">
        <v>27.5</v>
      </c>
      <c r="P24" s="20">
        <v>28.5</v>
      </c>
      <c r="Q24" s="20">
        <v>28.9</v>
      </c>
    </row>
    <row r="25" spans="1:17" x14ac:dyDescent="0.25">
      <c r="A25" s="19">
        <v>1976</v>
      </c>
      <c r="B25" s="19" t="s">
        <v>22</v>
      </c>
      <c r="C25" s="19">
        <v>23</v>
      </c>
      <c r="D25" s="20">
        <v>8.6</v>
      </c>
      <c r="E25" s="20">
        <v>15.9</v>
      </c>
      <c r="F25" s="20">
        <v>20.2</v>
      </c>
      <c r="G25" s="20">
        <v>21.5</v>
      </c>
      <c r="H25" s="20">
        <v>22.5</v>
      </c>
      <c r="I25" s="20">
        <v>23.4</v>
      </c>
      <c r="J25" s="20">
        <v>23.2</v>
      </c>
      <c r="K25" s="20">
        <v>23.9</v>
      </c>
      <c r="L25" s="20">
        <v>23.2</v>
      </c>
      <c r="M25" s="20">
        <v>25.1</v>
      </c>
      <c r="N25" s="20">
        <v>23.7</v>
      </c>
      <c r="O25" s="20">
        <v>24</v>
      </c>
      <c r="P25" s="20">
        <v>25.6</v>
      </c>
      <c r="Q25" s="20">
        <v>27.5</v>
      </c>
    </row>
    <row r="26" spans="1:17" x14ac:dyDescent="0.25">
      <c r="A26" s="19">
        <v>1976</v>
      </c>
      <c r="B26" s="19" t="s">
        <v>22</v>
      </c>
      <c r="C26" s="19">
        <v>24</v>
      </c>
      <c r="D26" s="20">
        <v>8.5</v>
      </c>
      <c r="E26" s="20">
        <v>15.1</v>
      </c>
      <c r="F26" s="20">
        <v>18.600000000000001</v>
      </c>
      <c r="G26" s="20">
        <v>19.5</v>
      </c>
      <c r="H26" s="20">
        <v>20.8</v>
      </c>
      <c r="I26" s="20">
        <v>20.3</v>
      </c>
      <c r="J26" s="20">
        <v>21.8</v>
      </c>
      <c r="K26" s="20">
        <v>23.2</v>
      </c>
      <c r="L26" s="20">
        <v>23</v>
      </c>
      <c r="M26" s="20">
        <v>24.7</v>
      </c>
      <c r="N26" s="20">
        <v>23</v>
      </c>
      <c r="O26" s="20">
        <v>23.1</v>
      </c>
      <c r="P26" s="20">
        <v>23.9</v>
      </c>
      <c r="Q26" s="20">
        <v>25.5</v>
      </c>
    </row>
    <row r="27" spans="1:17" x14ac:dyDescent="0.25">
      <c r="A27" s="19">
        <v>1976</v>
      </c>
      <c r="B27" s="19" t="s">
        <v>22</v>
      </c>
      <c r="C27" s="19">
        <v>25</v>
      </c>
      <c r="D27" s="20">
        <v>8.5</v>
      </c>
      <c r="E27" s="20">
        <v>15.5</v>
      </c>
      <c r="F27" s="20">
        <v>17.100000000000001</v>
      </c>
      <c r="G27" s="20">
        <v>18.7</v>
      </c>
      <c r="H27" s="20">
        <v>19.8</v>
      </c>
      <c r="I27" s="20">
        <v>20.5</v>
      </c>
      <c r="J27" s="20">
        <v>21.7</v>
      </c>
      <c r="K27" s="20">
        <v>22.8</v>
      </c>
      <c r="L27" s="20">
        <v>23.3</v>
      </c>
      <c r="M27" s="20">
        <v>23.6</v>
      </c>
      <c r="N27" s="20">
        <v>23.6</v>
      </c>
      <c r="O27" s="20">
        <v>24.4</v>
      </c>
      <c r="P27" s="20">
        <v>24.3</v>
      </c>
      <c r="Q27" s="20">
        <v>24.9</v>
      </c>
    </row>
    <row r="28" spans="1:17" x14ac:dyDescent="0.25">
      <c r="A28" s="19">
        <v>1976</v>
      </c>
      <c r="B28" s="19" t="s">
        <v>22</v>
      </c>
      <c r="C28" s="19">
        <v>26</v>
      </c>
      <c r="D28" s="20">
        <v>7.4</v>
      </c>
      <c r="E28" s="20">
        <v>14</v>
      </c>
      <c r="F28" s="20">
        <v>19.5</v>
      </c>
      <c r="G28" s="20">
        <v>20.9</v>
      </c>
      <c r="H28" s="20">
        <v>22.7</v>
      </c>
      <c r="I28" s="20">
        <v>22.4</v>
      </c>
      <c r="J28" s="20">
        <v>23.3</v>
      </c>
      <c r="K28" s="20">
        <v>23.6</v>
      </c>
      <c r="L28" s="20">
        <v>24.8</v>
      </c>
      <c r="M28" s="20">
        <v>25.8</v>
      </c>
      <c r="N28" s="20">
        <v>24.6</v>
      </c>
      <c r="O28" s="20">
        <v>24.7</v>
      </c>
      <c r="P28" s="20">
        <v>25.5</v>
      </c>
      <c r="Q28" s="20">
        <v>23.7</v>
      </c>
    </row>
    <row r="29" spans="1:17" x14ac:dyDescent="0.25">
      <c r="A29" s="19">
        <v>1976</v>
      </c>
      <c r="B29" s="19" t="s">
        <v>22</v>
      </c>
      <c r="C29" s="19">
        <v>27</v>
      </c>
      <c r="D29" s="20">
        <v>11.2</v>
      </c>
      <c r="E29" s="20">
        <v>17.600000000000001</v>
      </c>
      <c r="F29" s="20">
        <v>19.7</v>
      </c>
      <c r="G29" s="20">
        <v>20.3</v>
      </c>
      <c r="H29" s="20">
        <v>21.4</v>
      </c>
      <c r="I29" s="20">
        <v>22.4</v>
      </c>
      <c r="J29" s="20">
        <v>23</v>
      </c>
      <c r="K29" s="20">
        <v>23.2</v>
      </c>
      <c r="L29" s="20">
        <v>22.8</v>
      </c>
      <c r="M29" s="20">
        <v>24.4</v>
      </c>
      <c r="N29" s="20">
        <v>24.8</v>
      </c>
      <c r="O29" s="20">
        <v>25.7</v>
      </c>
      <c r="P29" s="20">
        <v>25.5</v>
      </c>
      <c r="Q29" s="20">
        <v>26.2</v>
      </c>
    </row>
    <row r="30" spans="1:17" x14ac:dyDescent="0.25">
      <c r="A30" s="19">
        <v>1976</v>
      </c>
      <c r="B30" s="19" t="s">
        <v>22</v>
      </c>
      <c r="C30" s="19">
        <v>28</v>
      </c>
      <c r="D30" s="20">
        <v>10.5</v>
      </c>
      <c r="E30" s="20">
        <v>16.399999999999999</v>
      </c>
      <c r="F30" s="20">
        <v>18.8</v>
      </c>
      <c r="G30" s="20">
        <v>18.899999999999999</v>
      </c>
      <c r="H30" s="20">
        <v>20</v>
      </c>
      <c r="I30" s="20">
        <v>21.7</v>
      </c>
      <c r="J30" s="20">
        <v>21.7</v>
      </c>
      <c r="K30" s="20">
        <v>22.3</v>
      </c>
      <c r="L30" s="20">
        <v>22.8</v>
      </c>
      <c r="M30" s="20">
        <v>23.2</v>
      </c>
      <c r="N30" s="20">
        <v>23.9</v>
      </c>
      <c r="O30" s="20">
        <v>23.1</v>
      </c>
      <c r="P30" s="20">
        <v>22.7</v>
      </c>
      <c r="Q30" s="20">
        <v>23.9</v>
      </c>
    </row>
    <row r="31" spans="1:17" x14ac:dyDescent="0.25">
      <c r="A31" s="19">
        <v>1976</v>
      </c>
      <c r="B31" s="19" t="s">
        <v>22</v>
      </c>
      <c r="C31" s="19">
        <v>29</v>
      </c>
      <c r="D31" s="20">
        <v>8</v>
      </c>
      <c r="E31" s="20">
        <v>15</v>
      </c>
      <c r="F31" s="20">
        <v>18.7</v>
      </c>
      <c r="G31" s="20">
        <v>19.5</v>
      </c>
      <c r="H31" s="20">
        <v>20.9</v>
      </c>
      <c r="I31" s="20">
        <v>21.4</v>
      </c>
      <c r="J31" s="20">
        <v>22.2</v>
      </c>
      <c r="K31" s="20">
        <v>23.4</v>
      </c>
      <c r="L31" s="20">
        <v>24</v>
      </c>
      <c r="M31" s="20">
        <v>24.1</v>
      </c>
      <c r="N31" s="20">
        <v>24.5</v>
      </c>
      <c r="O31" s="20">
        <v>24.9</v>
      </c>
      <c r="P31" s="20">
        <v>25.1</v>
      </c>
      <c r="Q31" s="20">
        <v>25.7</v>
      </c>
    </row>
    <row r="32" spans="1:17" x14ac:dyDescent="0.25">
      <c r="A32" s="19">
        <v>1976</v>
      </c>
      <c r="B32" s="19" t="s">
        <v>22</v>
      </c>
      <c r="C32" s="19">
        <v>30</v>
      </c>
      <c r="D32" s="20">
        <v>8.9</v>
      </c>
      <c r="E32" s="20">
        <v>16.399999999999999</v>
      </c>
      <c r="F32" s="20">
        <v>20.2</v>
      </c>
      <c r="G32" s="20">
        <v>21</v>
      </c>
      <c r="H32" s="20">
        <v>22.2</v>
      </c>
      <c r="I32" s="20">
        <v>23.5</v>
      </c>
      <c r="J32" s="20">
        <v>23.4</v>
      </c>
      <c r="K32" s="20">
        <v>24.1</v>
      </c>
      <c r="L32" s="20">
        <v>25.9</v>
      </c>
      <c r="M32" s="20">
        <v>25.2</v>
      </c>
      <c r="N32" s="20">
        <v>24.7</v>
      </c>
      <c r="O32" s="20">
        <v>24.4</v>
      </c>
      <c r="P32" s="20">
        <v>25.3</v>
      </c>
      <c r="Q32" s="20">
        <v>26</v>
      </c>
    </row>
    <row r="33" spans="1:17" x14ac:dyDescent="0.25">
      <c r="A33" s="19">
        <v>1976</v>
      </c>
      <c r="B33" s="19" t="s">
        <v>22</v>
      </c>
      <c r="C33" s="19">
        <v>31</v>
      </c>
      <c r="D33" s="20">
        <v>8.1999999999999993</v>
      </c>
      <c r="E33" s="20">
        <v>14.6</v>
      </c>
      <c r="F33" s="20">
        <v>17.2</v>
      </c>
      <c r="G33" s="20">
        <v>17.100000000000001</v>
      </c>
      <c r="H33" s="20">
        <v>18.899999999999999</v>
      </c>
      <c r="I33" s="20">
        <v>21</v>
      </c>
      <c r="J33" s="20">
        <v>22.2</v>
      </c>
      <c r="K33" s="20">
        <v>23.7</v>
      </c>
      <c r="L33" s="20">
        <v>23.4</v>
      </c>
      <c r="M33" s="20">
        <v>23.4</v>
      </c>
      <c r="N33" s="20">
        <v>23.3</v>
      </c>
      <c r="O33" s="20">
        <v>24.3</v>
      </c>
      <c r="P33" s="20">
        <v>25.2</v>
      </c>
      <c r="Q33" s="20">
        <v>24.5</v>
      </c>
    </row>
    <row r="34" spans="1:17" x14ac:dyDescent="0.25">
      <c r="A34" s="19">
        <v>1976</v>
      </c>
      <c r="B34" s="19" t="s">
        <v>22</v>
      </c>
      <c r="C34" s="19">
        <v>32</v>
      </c>
      <c r="D34" s="20">
        <v>11.5</v>
      </c>
      <c r="E34" s="20">
        <v>17.7</v>
      </c>
      <c r="F34" s="20">
        <v>18.7</v>
      </c>
      <c r="G34" s="20">
        <v>19.899999999999999</v>
      </c>
      <c r="H34" s="20">
        <v>20.100000000000001</v>
      </c>
      <c r="I34" s="20">
        <v>21.1</v>
      </c>
      <c r="J34" s="20">
        <v>21.5</v>
      </c>
      <c r="K34" s="20">
        <v>22.1</v>
      </c>
      <c r="L34" s="20">
        <v>23.1</v>
      </c>
      <c r="M34" s="20">
        <v>22.5</v>
      </c>
      <c r="N34" s="20">
        <v>22.8</v>
      </c>
      <c r="O34" s="20">
        <v>22.3</v>
      </c>
      <c r="P34" s="20">
        <v>22.1</v>
      </c>
      <c r="Q34" s="20">
        <v>22.3</v>
      </c>
    </row>
    <row r="35" spans="1:17" x14ac:dyDescent="0.25">
      <c r="A35" s="19">
        <v>1976</v>
      </c>
      <c r="B35" s="19" t="s">
        <v>22</v>
      </c>
      <c r="C35" s="19">
        <v>33</v>
      </c>
      <c r="D35" s="20">
        <v>7.8</v>
      </c>
      <c r="E35" s="20">
        <v>14.4</v>
      </c>
      <c r="F35" s="20">
        <v>17.899999999999999</v>
      </c>
      <c r="G35" s="20">
        <v>17.899999999999999</v>
      </c>
      <c r="H35" s="20">
        <v>19.100000000000001</v>
      </c>
      <c r="I35" s="20">
        <v>20.9</v>
      </c>
      <c r="J35" s="20">
        <v>22.2</v>
      </c>
      <c r="K35" s="20">
        <v>22.6</v>
      </c>
      <c r="L35" s="20">
        <v>22.5</v>
      </c>
      <c r="M35" s="20">
        <v>23.1</v>
      </c>
      <c r="N35" s="20">
        <v>23.6</v>
      </c>
      <c r="O35" s="20">
        <v>23.7</v>
      </c>
      <c r="P35" s="20">
        <v>23.4</v>
      </c>
      <c r="Q35" s="20">
        <v>24.2</v>
      </c>
    </row>
    <row r="36" spans="1:17" x14ac:dyDescent="0.25">
      <c r="A36" s="19">
        <v>1976</v>
      </c>
      <c r="B36" s="19" t="s">
        <v>22</v>
      </c>
      <c r="C36" s="19">
        <v>34</v>
      </c>
      <c r="D36" s="20">
        <v>7.2</v>
      </c>
      <c r="E36" s="20">
        <v>14</v>
      </c>
      <c r="F36" s="20">
        <v>20.2</v>
      </c>
      <c r="G36" s="20">
        <v>19.7</v>
      </c>
      <c r="H36" s="20">
        <v>20.3</v>
      </c>
      <c r="I36" s="20">
        <v>22.5</v>
      </c>
      <c r="J36" s="20">
        <v>24.3</v>
      </c>
      <c r="K36" s="20">
        <v>24.4</v>
      </c>
      <c r="L36" s="20">
        <v>23.5</v>
      </c>
      <c r="M36" s="20">
        <v>23.2</v>
      </c>
      <c r="N36" s="20">
        <v>24.3</v>
      </c>
      <c r="O36" s="20">
        <v>24.7</v>
      </c>
      <c r="P36" s="20">
        <v>23.7</v>
      </c>
      <c r="Q36" s="20">
        <v>22.7</v>
      </c>
    </row>
    <row r="37" spans="1:17" x14ac:dyDescent="0.25">
      <c r="A37" s="19">
        <v>1976</v>
      </c>
      <c r="B37" s="19" t="s">
        <v>22</v>
      </c>
      <c r="C37" s="19">
        <v>35</v>
      </c>
      <c r="D37" s="20">
        <v>8.6999999999999993</v>
      </c>
      <c r="E37" s="20">
        <v>16</v>
      </c>
      <c r="F37" s="20">
        <v>20.5</v>
      </c>
      <c r="G37" s="20">
        <v>21.3</v>
      </c>
      <c r="H37" s="20">
        <v>23.7</v>
      </c>
      <c r="I37" s="20">
        <v>24.6</v>
      </c>
      <c r="J37" s="20">
        <v>24.6</v>
      </c>
      <c r="K37" s="20">
        <v>26.1</v>
      </c>
      <c r="L37" s="20">
        <v>26.9</v>
      </c>
      <c r="M37" s="20">
        <v>25.4</v>
      </c>
      <c r="N37" s="20">
        <v>24.5</v>
      </c>
      <c r="O37" s="20">
        <v>24.5</v>
      </c>
      <c r="P37" s="20">
        <v>24.4</v>
      </c>
      <c r="Q37" s="20">
        <v>25.395918367346937</v>
      </c>
    </row>
    <row r="38" spans="1:17" x14ac:dyDescent="0.25">
      <c r="A38" s="19">
        <v>1976</v>
      </c>
      <c r="B38" s="19" t="s">
        <v>22</v>
      </c>
      <c r="C38" s="19">
        <v>36</v>
      </c>
      <c r="D38" s="20">
        <v>8.5</v>
      </c>
      <c r="E38" s="20">
        <v>15.2</v>
      </c>
      <c r="F38" s="20">
        <v>18.899999999999999</v>
      </c>
      <c r="G38" s="20">
        <v>19.3</v>
      </c>
      <c r="H38" s="20">
        <v>20.3</v>
      </c>
      <c r="I38" s="20">
        <v>21.6</v>
      </c>
      <c r="J38" s="20">
        <v>22.5</v>
      </c>
      <c r="K38" s="20">
        <v>23.8</v>
      </c>
      <c r="L38" s="20">
        <v>24</v>
      </c>
      <c r="M38" s="20">
        <v>23.2</v>
      </c>
      <c r="N38" s="20">
        <v>23.4</v>
      </c>
      <c r="O38" s="20">
        <v>25.6</v>
      </c>
      <c r="P38" s="20">
        <v>24.3</v>
      </c>
      <c r="Q38" s="20">
        <v>25</v>
      </c>
    </row>
    <row r="39" spans="1:17" x14ac:dyDescent="0.25">
      <c r="A39" s="19">
        <v>1976</v>
      </c>
      <c r="B39" s="19" t="s">
        <v>22</v>
      </c>
      <c r="C39" s="19">
        <v>37</v>
      </c>
      <c r="D39" s="20">
        <v>8.8000000000000007</v>
      </c>
      <c r="E39" s="20">
        <v>15.7</v>
      </c>
      <c r="F39" s="20">
        <v>17.8</v>
      </c>
      <c r="G39" s="20">
        <v>18.5</v>
      </c>
      <c r="H39" s="20">
        <v>20.2</v>
      </c>
      <c r="I39" s="20">
        <v>21.1</v>
      </c>
      <c r="J39" s="20">
        <v>21.9</v>
      </c>
      <c r="K39" s="20">
        <v>22.6</v>
      </c>
      <c r="L39" s="20">
        <v>24.7</v>
      </c>
      <c r="M39" s="20">
        <v>25.3</v>
      </c>
      <c r="N39" s="20">
        <v>24.2</v>
      </c>
      <c r="O39" s="20">
        <v>25.1</v>
      </c>
      <c r="P39" s="20">
        <v>26</v>
      </c>
      <c r="Q39" s="20">
        <v>26.9</v>
      </c>
    </row>
    <row r="40" spans="1:17" x14ac:dyDescent="0.25">
      <c r="A40" s="19">
        <v>1976</v>
      </c>
      <c r="B40" s="19" t="s">
        <v>22</v>
      </c>
      <c r="C40" s="19">
        <v>38</v>
      </c>
      <c r="D40" s="20">
        <v>8</v>
      </c>
      <c r="E40" s="20">
        <v>15.2</v>
      </c>
      <c r="F40" s="20">
        <v>19.2</v>
      </c>
      <c r="G40" s="20">
        <v>20.6</v>
      </c>
      <c r="H40" s="20">
        <v>19.899999999999999</v>
      </c>
      <c r="I40" s="20">
        <v>21.8</v>
      </c>
      <c r="J40" s="20">
        <v>22.8</v>
      </c>
      <c r="K40" s="20">
        <v>22.6</v>
      </c>
      <c r="L40" s="20">
        <v>22.9</v>
      </c>
      <c r="M40" s="20">
        <v>23.2</v>
      </c>
      <c r="N40" s="20">
        <v>22.2</v>
      </c>
      <c r="O40" s="20">
        <v>23.8</v>
      </c>
      <c r="P40" s="20">
        <v>22.9</v>
      </c>
      <c r="Q40" s="20">
        <v>22.2</v>
      </c>
    </row>
    <row r="41" spans="1:17" x14ac:dyDescent="0.25">
      <c r="A41" s="19">
        <v>1976</v>
      </c>
      <c r="B41" s="19" t="s">
        <v>22</v>
      </c>
      <c r="C41" s="19">
        <v>39</v>
      </c>
      <c r="D41" s="20">
        <v>11.1</v>
      </c>
      <c r="E41" s="20">
        <v>17.600000000000001</v>
      </c>
      <c r="F41" s="20">
        <v>17.399999999999999</v>
      </c>
      <c r="G41" s="20">
        <v>17.600000000000001</v>
      </c>
      <c r="H41" s="20">
        <v>18.600000000000001</v>
      </c>
      <c r="I41" s="20">
        <v>19.7</v>
      </c>
      <c r="J41" s="20">
        <v>20.8</v>
      </c>
      <c r="K41" s="20">
        <v>20.9</v>
      </c>
      <c r="L41" s="20">
        <v>22.1</v>
      </c>
      <c r="M41" s="20">
        <v>22.2</v>
      </c>
      <c r="N41" s="20">
        <v>22.1</v>
      </c>
      <c r="O41" s="20">
        <v>23.1</v>
      </c>
      <c r="P41" s="20">
        <v>23.4</v>
      </c>
      <c r="Q41" s="20">
        <v>23.5</v>
      </c>
    </row>
    <row r="42" spans="1:17" x14ac:dyDescent="0.25">
      <c r="A42" s="19">
        <v>1976</v>
      </c>
      <c r="B42" s="19" t="s">
        <v>22</v>
      </c>
      <c r="C42" s="19">
        <v>40</v>
      </c>
      <c r="D42" s="20">
        <v>8.1</v>
      </c>
      <c r="E42" s="20">
        <v>15.6</v>
      </c>
      <c r="F42" s="20">
        <v>19.100000000000001</v>
      </c>
      <c r="G42" s="20">
        <v>19.5</v>
      </c>
      <c r="H42" s="20">
        <v>20.7</v>
      </c>
      <c r="I42" s="20">
        <v>20.9</v>
      </c>
      <c r="J42" s="20">
        <v>23</v>
      </c>
      <c r="K42" s="20">
        <v>23.3</v>
      </c>
      <c r="L42" s="20">
        <v>25.2</v>
      </c>
      <c r="M42" s="20">
        <v>25.3</v>
      </c>
      <c r="N42" s="20">
        <v>25.8</v>
      </c>
      <c r="O42" s="20">
        <v>25.7</v>
      </c>
      <c r="P42" s="20">
        <v>27.2</v>
      </c>
      <c r="Q42" s="20">
        <v>28</v>
      </c>
    </row>
    <row r="43" spans="1:17" x14ac:dyDescent="0.25">
      <c r="A43" s="19">
        <v>1976</v>
      </c>
      <c r="B43" s="19" t="s">
        <v>22</v>
      </c>
      <c r="C43" s="19">
        <v>41</v>
      </c>
      <c r="D43" s="20">
        <v>10.3</v>
      </c>
      <c r="E43" s="20">
        <v>17.100000000000001</v>
      </c>
      <c r="F43" s="20">
        <v>17.7</v>
      </c>
      <c r="G43" s="20">
        <v>18.100000000000001</v>
      </c>
      <c r="H43" s="20">
        <v>19.399999999999999</v>
      </c>
      <c r="I43" s="20">
        <v>19.899999999999999</v>
      </c>
      <c r="J43" s="20">
        <v>20.3</v>
      </c>
      <c r="K43" s="20">
        <v>20.8</v>
      </c>
      <c r="L43" s="20">
        <v>21.9</v>
      </c>
      <c r="M43" s="20">
        <v>22.6</v>
      </c>
      <c r="N43" s="20">
        <v>22.4</v>
      </c>
      <c r="O43" s="20">
        <v>23.5</v>
      </c>
      <c r="P43" s="20">
        <v>24.1</v>
      </c>
      <c r="Q43" s="20">
        <v>24.4</v>
      </c>
    </row>
    <row r="44" spans="1:17" x14ac:dyDescent="0.25">
      <c r="A44" s="19">
        <v>1976</v>
      </c>
      <c r="B44" s="19" t="s">
        <v>22</v>
      </c>
      <c r="C44" s="19">
        <v>42</v>
      </c>
      <c r="D44" s="20">
        <v>8.1999999999999993</v>
      </c>
      <c r="E44" s="20">
        <v>15.2</v>
      </c>
      <c r="F44" s="20">
        <v>17</v>
      </c>
      <c r="G44" s="20">
        <v>16.600000000000001</v>
      </c>
      <c r="H44" s="20">
        <v>17.399999999999999</v>
      </c>
      <c r="I44" s="20">
        <v>19</v>
      </c>
      <c r="J44" s="20">
        <v>19.100000000000001</v>
      </c>
      <c r="K44" s="20">
        <v>19.8</v>
      </c>
      <c r="L44" s="20">
        <v>20.6</v>
      </c>
      <c r="M44" s="20">
        <v>21.2</v>
      </c>
      <c r="N44" s="20">
        <v>21.4</v>
      </c>
      <c r="O44" s="20">
        <v>22.3</v>
      </c>
      <c r="P44" s="20">
        <v>22.9</v>
      </c>
      <c r="Q44" s="20">
        <v>23.2</v>
      </c>
    </row>
    <row r="45" spans="1:17" x14ac:dyDescent="0.25">
      <c r="A45" s="19">
        <v>1976</v>
      </c>
      <c r="B45" s="19" t="s">
        <v>22</v>
      </c>
      <c r="C45" s="19">
        <v>43</v>
      </c>
      <c r="D45" s="20">
        <v>11.3</v>
      </c>
      <c r="E45" s="20">
        <v>17.2</v>
      </c>
      <c r="F45" s="20">
        <v>17.600000000000001</v>
      </c>
      <c r="G45" s="20">
        <v>18</v>
      </c>
      <c r="H45" s="20">
        <v>19.7</v>
      </c>
      <c r="I45" s="20">
        <v>20.2</v>
      </c>
      <c r="J45" s="20">
        <v>21.5</v>
      </c>
      <c r="K45" s="20">
        <v>22.1</v>
      </c>
      <c r="L45" s="20">
        <v>23.2</v>
      </c>
      <c r="M45" s="20">
        <v>23</v>
      </c>
      <c r="N45" s="20">
        <v>23.5</v>
      </c>
      <c r="O45" s="20">
        <v>23.3</v>
      </c>
      <c r="P45" s="20">
        <v>23.4</v>
      </c>
      <c r="Q45" s="20">
        <v>24.3</v>
      </c>
    </row>
    <row r="46" spans="1:17" x14ac:dyDescent="0.25">
      <c r="A46" s="19">
        <v>1976</v>
      </c>
      <c r="B46" s="19" t="s">
        <v>22</v>
      </c>
      <c r="C46" s="19">
        <v>44</v>
      </c>
      <c r="D46" s="20">
        <v>12.1</v>
      </c>
      <c r="E46" s="20">
        <v>18.2</v>
      </c>
      <c r="F46" s="20">
        <v>17.8</v>
      </c>
      <c r="G46" s="20">
        <v>18.399999999999999</v>
      </c>
      <c r="H46" s="20">
        <v>19.399999999999999</v>
      </c>
      <c r="I46" s="20">
        <v>20.3</v>
      </c>
      <c r="J46" s="20">
        <v>21</v>
      </c>
      <c r="K46" s="20">
        <v>21.7</v>
      </c>
      <c r="L46" s="20">
        <v>22.1</v>
      </c>
      <c r="M46" s="20">
        <v>23.5</v>
      </c>
      <c r="N46" s="20">
        <v>23.5</v>
      </c>
      <c r="O46" s="20">
        <v>22.9</v>
      </c>
      <c r="P46" s="20">
        <v>24.3</v>
      </c>
      <c r="Q46" s="20">
        <v>24.9</v>
      </c>
    </row>
    <row r="47" spans="1:17" x14ac:dyDescent="0.25">
      <c r="A47" s="19">
        <v>1976</v>
      </c>
      <c r="B47" s="19" t="s">
        <v>22</v>
      </c>
      <c r="C47" s="19">
        <v>45</v>
      </c>
      <c r="D47" s="20">
        <v>8.1999999999999993</v>
      </c>
      <c r="E47" s="20">
        <v>15</v>
      </c>
      <c r="F47" s="20">
        <v>17.5</v>
      </c>
      <c r="G47" s="20">
        <v>18.7</v>
      </c>
      <c r="H47" s="20">
        <v>20</v>
      </c>
      <c r="I47" s="20">
        <v>21.5</v>
      </c>
      <c r="J47" s="20">
        <v>22.6</v>
      </c>
      <c r="K47" s="20">
        <v>23.5</v>
      </c>
      <c r="L47" s="20">
        <v>25.8</v>
      </c>
      <c r="M47" s="20">
        <v>24.5</v>
      </c>
      <c r="N47" s="20">
        <v>26</v>
      </c>
      <c r="O47" s="20">
        <v>25.3</v>
      </c>
      <c r="P47" s="20">
        <v>25.7</v>
      </c>
      <c r="Q47" s="20">
        <v>27.1</v>
      </c>
    </row>
    <row r="48" spans="1:17" x14ac:dyDescent="0.25">
      <c r="A48" s="19">
        <v>1976</v>
      </c>
      <c r="B48" s="19" t="s">
        <v>22</v>
      </c>
      <c r="C48" s="19">
        <v>46</v>
      </c>
      <c r="D48" s="20">
        <v>7.8</v>
      </c>
      <c r="E48" s="20">
        <v>14.1</v>
      </c>
      <c r="F48" s="20">
        <v>18.2</v>
      </c>
      <c r="G48" s="20">
        <v>18.8</v>
      </c>
      <c r="H48" s="20">
        <v>19.3</v>
      </c>
      <c r="I48" s="20">
        <v>20.5</v>
      </c>
      <c r="J48" s="20">
        <v>20.5</v>
      </c>
      <c r="K48" s="20">
        <v>22.2</v>
      </c>
      <c r="L48" s="20">
        <v>23.1</v>
      </c>
      <c r="M48" s="20">
        <v>23.6</v>
      </c>
      <c r="N48" s="20">
        <v>22.8</v>
      </c>
      <c r="O48" s="20">
        <v>24</v>
      </c>
      <c r="P48" s="20">
        <v>24.3</v>
      </c>
      <c r="Q48" s="20">
        <v>25</v>
      </c>
    </row>
    <row r="49" spans="1:17" x14ac:dyDescent="0.25">
      <c r="A49" s="19">
        <v>1976</v>
      </c>
      <c r="B49" s="19" t="s">
        <v>22</v>
      </c>
      <c r="C49" s="19">
        <v>47</v>
      </c>
      <c r="D49" s="20">
        <v>11.5</v>
      </c>
      <c r="E49" s="20">
        <v>19.2</v>
      </c>
      <c r="F49" s="20">
        <v>18.5</v>
      </c>
      <c r="G49" s="20">
        <v>19.7</v>
      </c>
      <c r="H49" s="20">
        <v>20.3</v>
      </c>
      <c r="I49" s="20">
        <v>20.9</v>
      </c>
      <c r="J49" s="20">
        <v>21.5</v>
      </c>
      <c r="K49" s="20">
        <v>22.4</v>
      </c>
      <c r="L49" s="20">
        <v>23</v>
      </c>
      <c r="M49" s="20">
        <v>24.1</v>
      </c>
      <c r="N49" s="20">
        <v>24</v>
      </c>
      <c r="O49" s="20">
        <v>23.7</v>
      </c>
      <c r="P49" s="20">
        <v>24.2</v>
      </c>
      <c r="Q49" s="20">
        <v>25.4</v>
      </c>
    </row>
    <row r="50" spans="1:17" x14ac:dyDescent="0.25">
      <c r="A50" s="19">
        <v>1976</v>
      </c>
      <c r="B50" s="19" t="s">
        <v>22</v>
      </c>
      <c r="C50" s="19">
        <v>48</v>
      </c>
      <c r="D50" s="20">
        <v>11.4</v>
      </c>
      <c r="E50" s="20">
        <v>17.399999999999999</v>
      </c>
      <c r="F50" s="20">
        <v>17.7</v>
      </c>
      <c r="G50" s="20">
        <v>17</v>
      </c>
      <c r="H50" s="20">
        <v>18.2</v>
      </c>
      <c r="I50" s="20">
        <v>19.100000000000001</v>
      </c>
      <c r="J50" s="20">
        <v>20</v>
      </c>
      <c r="K50" s="20">
        <v>20.6</v>
      </c>
      <c r="L50" s="20">
        <v>23.8</v>
      </c>
      <c r="M50" s="20">
        <v>23.1</v>
      </c>
      <c r="N50" s="20">
        <v>23.7</v>
      </c>
      <c r="O50" s="20">
        <v>23.5</v>
      </c>
      <c r="P50" s="20">
        <v>23.5</v>
      </c>
      <c r="Q50" s="20">
        <v>23.8</v>
      </c>
    </row>
    <row r="51" spans="1:17" x14ac:dyDescent="0.25">
      <c r="A51" s="19">
        <v>1976</v>
      </c>
      <c r="B51" s="19" t="s">
        <v>22</v>
      </c>
      <c r="C51" s="19">
        <v>49</v>
      </c>
      <c r="D51" s="20">
        <v>10.199999999999999</v>
      </c>
      <c r="E51" s="20">
        <v>16.8</v>
      </c>
      <c r="F51" s="20">
        <v>20.6</v>
      </c>
      <c r="G51" s="20">
        <v>21.3</v>
      </c>
      <c r="H51" s="20">
        <v>21.3</v>
      </c>
      <c r="I51" s="20">
        <v>22.6</v>
      </c>
      <c r="J51" s="20">
        <v>22.8</v>
      </c>
      <c r="K51" s="20">
        <v>24.2</v>
      </c>
      <c r="L51" s="20">
        <v>24.7</v>
      </c>
      <c r="M51" s="20">
        <v>25.8</v>
      </c>
      <c r="N51" s="20">
        <v>25.7</v>
      </c>
      <c r="O51" s="20">
        <v>25.1</v>
      </c>
      <c r="P51" s="20">
        <v>26.1</v>
      </c>
      <c r="Q51" s="20">
        <v>26.8</v>
      </c>
    </row>
    <row r="52" spans="1:17" x14ac:dyDescent="0.25">
      <c r="A52" s="19">
        <v>1976</v>
      </c>
      <c r="B52" s="19" t="s">
        <v>22</v>
      </c>
      <c r="C52" s="19">
        <v>50</v>
      </c>
      <c r="D52" s="20">
        <v>10.4</v>
      </c>
      <c r="E52" s="20">
        <v>16.399999999999999</v>
      </c>
      <c r="F52" s="20">
        <v>17.5</v>
      </c>
      <c r="G52" s="20">
        <v>17.2</v>
      </c>
      <c r="H52" s="20">
        <v>18.399999999999999</v>
      </c>
      <c r="I52" s="20">
        <v>19.5</v>
      </c>
      <c r="J52" s="20">
        <v>20.5</v>
      </c>
      <c r="K52" s="20">
        <v>20.2</v>
      </c>
      <c r="L52" s="20">
        <v>21</v>
      </c>
      <c r="M52" s="20">
        <v>22.1</v>
      </c>
      <c r="N52" s="20">
        <v>21.8</v>
      </c>
      <c r="O52" s="20">
        <v>21.5</v>
      </c>
      <c r="P52" s="20">
        <v>22</v>
      </c>
      <c r="Q52" s="20">
        <v>21.9</v>
      </c>
    </row>
    <row r="53" spans="1:17" x14ac:dyDescent="0.25">
      <c r="A53" s="19">
        <v>1976</v>
      </c>
      <c r="B53" s="19" t="s">
        <v>22</v>
      </c>
      <c r="C53" s="19">
        <v>51</v>
      </c>
      <c r="D53" s="20">
        <v>13.2</v>
      </c>
      <c r="E53" s="20">
        <v>18.2</v>
      </c>
      <c r="F53" s="20">
        <v>18.8</v>
      </c>
      <c r="G53" s="20">
        <v>20</v>
      </c>
      <c r="H53" s="20">
        <v>20.8</v>
      </c>
      <c r="I53" s="20">
        <v>21.6</v>
      </c>
      <c r="J53" s="20">
        <v>22.9</v>
      </c>
      <c r="K53" s="20">
        <v>23.5</v>
      </c>
      <c r="L53" s="20">
        <v>24.4</v>
      </c>
      <c r="M53" s="20">
        <v>24.2</v>
      </c>
      <c r="N53" s="20">
        <v>24.8</v>
      </c>
      <c r="O53" s="20">
        <v>24.7</v>
      </c>
      <c r="P53" s="20">
        <v>25.1</v>
      </c>
      <c r="Q53" s="20">
        <v>24.5</v>
      </c>
    </row>
    <row r="54" spans="1:17" x14ac:dyDescent="0.25">
      <c r="A54" s="19">
        <v>1976</v>
      </c>
      <c r="B54" s="19" t="s">
        <v>22</v>
      </c>
      <c r="C54" s="19">
        <v>52</v>
      </c>
      <c r="D54" s="20">
        <v>13.2</v>
      </c>
      <c r="E54" s="20">
        <v>17.8</v>
      </c>
      <c r="F54" s="20">
        <v>19.600000000000001</v>
      </c>
      <c r="G54" s="20">
        <v>20.3</v>
      </c>
      <c r="H54" s="20">
        <v>21.4</v>
      </c>
      <c r="I54" s="20">
        <v>22.4</v>
      </c>
      <c r="J54" s="20">
        <v>23</v>
      </c>
      <c r="K54" s="20">
        <v>25.4</v>
      </c>
      <c r="L54" s="20">
        <v>26.7</v>
      </c>
      <c r="M54" s="20">
        <v>25.6</v>
      </c>
      <c r="N54" s="20">
        <v>26.5</v>
      </c>
      <c r="O54" s="20">
        <v>26.5</v>
      </c>
      <c r="P54" s="20">
        <v>26.2</v>
      </c>
      <c r="Q54" s="20">
        <v>27.9</v>
      </c>
    </row>
    <row r="55" spans="1:17" x14ac:dyDescent="0.25">
      <c r="A55" s="19">
        <v>1976</v>
      </c>
      <c r="B55" s="19" t="s">
        <v>22</v>
      </c>
      <c r="C55" s="19">
        <v>53</v>
      </c>
      <c r="D55" s="20">
        <v>8</v>
      </c>
      <c r="E55" s="20">
        <v>14.3</v>
      </c>
      <c r="F55" s="20">
        <v>18.600000000000001</v>
      </c>
      <c r="G55" s="20">
        <v>18.8</v>
      </c>
      <c r="H55" s="20">
        <v>20.9</v>
      </c>
      <c r="I55" s="20">
        <v>20.5</v>
      </c>
      <c r="J55" s="20">
        <v>22.1</v>
      </c>
      <c r="K55" s="20">
        <v>23.8</v>
      </c>
      <c r="L55" s="20">
        <v>24.1</v>
      </c>
      <c r="M55" s="20">
        <v>23.7</v>
      </c>
      <c r="N55" s="20">
        <v>24.4</v>
      </c>
      <c r="O55" s="20">
        <v>24.4</v>
      </c>
      <c r="P55" s="20">
        <v>24.9</v>
      </c>
      <c r="Q55" s="20">
        <v>25.3</v>
      </c>
    </row>
    <row r="56" spans="1:17" x14ac:dyDescent="0.25">
      <c r="A56" s="19">
        <v>1976</v>
      </c>
      <c r="B56" s="19" t="s">
        <v>22</v>
      </c>
      <c r="C56" s="19">
        <v>54</v>
      </c>
      <c r="D56" s="20">
        <v>12.9</v>
      </c>
      <c r="E56" s="20">
        <v>19</v>
      </c>
      <c r="F56" s="20">
        <v>21</v>
      </c>
      <c r="G56" s="20">
        <v>21.1</v>
      </c>
      <c r="H56" s="20">
        <v>22.3</v>
      </c>
      <c r="I56" s="20">
        <v>23.4</v>
      </c>
      <c r="J56" s="20">
        <v>23.9</v>
      </c>
      <c r="K56" s="20">
        <v>24.8</v>
      </c>
      <c r="L56" s="20">
        <v>24.9</v>
      </c>
      <c r="M56" s="20">
        <v>25.7</v>
      </c>
      <c r="N56" s="20">
        <v>26.3</v>
      </c>
      <c r="O56" s="20">
        <v>26</v>
      </c>
      <c r="P56" s="20">
        <v>26</v>
      </c>
      <c r="Q56" s="20">
        <v>27</v>
      </c>
    </row>
    <row r="57" spans="1:17" x14ac:dyDescent="0.25">
      <c r="A57" s="19">
        <v>1976</v>
      </c>
      <c r="B57" s="19" t="s">
        <v>22</v>
      </c>
      <c r="C57" s="19">
        <v>55</v>
      </c>
      <c r="D57" s="20">
        <v>13.2</v>
      </c>
      <c r="E57" s="20">
        <v>18.7</v>
      </c>
      <c r="F57" s="20">
        <v>19</v>
      </c>
      <c r="G57" s="20">
        <v>19.8</v>
      </c>
      <c r="H57" s="20">
        <v>21.4</v>
      </c>
      <c r="I57" s="20">
        <v>24</v>
      </c>
      <c r="J57" s="20">
        <v>25.1</v>
      </c>
      <c r="K57" s="20">
        <v>26.6</v>
      </c>
      <c r="L57" s="20">
        <v>27.3</v>
      </c>
      <c r="M57" s="20">
        <v>27.7</v>
      </c>
      <c r="N57" s="20">
        <v>28.8</v>
      </c>
      <c r="O57" s="20">
        <v>28</v>
      </c>
      <c r="P57" s="20">
        <v>27.7</v>
      </c>
      <c r="Q57" s="20">
        <v>28</v>
      </c>
    </row>
    <row r="58" spans="1:17" x14ac:dyDescent="0.25">
      <c r="A58" s="19">
        <v>1976</v>
      </c>
      <c r="B58" s="19" t="s">
        <v>22</v>
      </c>
      <c r="C58" s="19">
        <v>56</v>
      </c>
      <c r="D58" s="20">
        <v>11.5</v>
      </c>
      <c r="E58" s="20">
        <v>16</v>
      </c>
      <c r="F58" s="20">
        <v>16.3</v>
      </c>
      <c r="G58" s="20">
        <v>17.100000000000001</v>
      </c>
      <c r="H58" s="20">
        <v>18.600000000000001</v>
      </c>
      <c r="I58" s="20">
        <v>19.600000000000001</v>
      </c>
      <c r="J58" s="20">
        <v>20.399999999999999</v>
      </c>
      <c r="K58" s="20">
        <v>21.7</v>
      </c>
      <c r="L58" s="20">
        <v>23</v>
      </c>
      <c r="M58" s="20">
        <v>22.5</v>
      </c>
      <c r="N58" s="20">
        <v>23.6</v>
      </c>
      <c r="O58" s="20">
        <v>23.7</v>
      </c>
      <c r="P58" s="20">
        <v>24.3</v>
      </c>
      <c r="Q58" s="20">
        <v>24</v>
      </c>
    </row>
    <row r="59" spans="1:17" x14ac:dyDescent="0.25">
      <c r="A59" s="19">
        <v>1976</v>
      </c>
      <c r="B59" s="19" t="s">
        <v>22</v>
      </c>
      <c r="C59" s="19">
        <v>57</v>
      </c>
      <c r="D59" s="20">
        <v>11.8</v>
      </c>
      <c r="E59" s="20">
        <v>18.399999999999999</v>
      </c>
      <c r="F59" s="20">
        <v>20.3</v>
      </c>
      <c r="G59" s="20">
        <v>19.8</v>
      </c>
      <c r="H59" s="20">
        <v>21.8</v>
      </c>
      <c r="I59" s="20">
        <v>22.8</v>
      </c>
      <c r="J59" s="20">
        <v>22.6</v>
      </c>
      <c r="K59" s="20">
        <v>23.6</v>
      </c>
      <c r="L59" s="20">
        <v>23.8</v>
      </c>
      <c r="M59" s="20">
        <v>25.3</v>
      </c>
      <c r="N59" s="20">
        <v>26.1</v>
      </c>
      <c r="O59" s="20">
        <v>26</v>
      </c>
      <c r="P59" s="20">
        <v>27.1</v>
      </c>
      <c r="Q59" s="20">
        <v>26.8</v>
      </c>
    </row>
    <row r="60" spans="1:17" x14ac:dyDescent="0.25">
      <c r="A60" s="19">
        <v>1976</v>
      </c>
      <c r="B60" s="19" t="s">
        <v>22</v>
      </c>
      <c r="C60" s="19">
        <v>58</v>
      </c>
      <c r="D60" s="20">
        <v>12.3</v>
      </c>
      <c r="E60" s="20">
        <v>17.2</v>
      </c>
      <c r="F60" s="20">
        <v>18</v>
      </c>
      <c r="G60" s="20">
        <v>18.100000000000001</v>
      </c>
      <c r="H60" s="20">
        <v>19</v>
      </c>
      <c r="I60" s="20">
        <v>21.1</v>
      </c>
      <c r="J60" s="20">
        <v>22.1</v>
      </c>
      <c r="K60" s="20">
        <v>22.5</v>
      </c>
      <c r="L60" s="20">
        <v>23.8</v>
      </c>
      <c r="M60" s="20">
        <v>23.3</v>
      </c>
      <c r="N60" s="20">
        <v>24.1</v>
      </c>
      <c r="O60" s="20">
        <v>24.8</v>
      </c>
      <c r="P60" s="20">
        <v>23.5</v>
      </c>
      <c r="Q60" s="20">
        <v>23.9</v>
      </c>
    </row>
    <row r="61" spans="1:17" x14ac:dyDescent="0.25">
      <c r="A61" s="19">
        <v>1976</v>
      </c>
      <c r="B61" s="19" t="s">
        <v>22</v>
      </c>
      <c r="C61" s="19">
        <v>59</v>
      </c>
      <c r="D61" s="20">
        <v>11.6</v>
      </c>
      <c r="E61" s="20">
        <v>17.600000000000001</v>
      </c>
      <c r="F61" s="20">
        <v>17.7</v>
      </c>
      <c r="G61" s="20">
        <v>18.2</v>
      </c>
      <c r="H61" s="20">
        <v>19.3</v>
      </c>
      <c r="I61" s="20">
        <v>22</v>
      </c>
      <c r="J61" s="20">
        <v>22.3</v>
      </c>
      <c r="K61" s="20">
        <v>22.2</v>
      </c>
      <c r="L61" s="20">
        <v>22.1</v>
      </c>
      <c r="M61" s="20">
        <v>22.6</v>
      </c>
      <c r="N61" s="20">
        <v>23.6</v>
      </c>
      <c r="O61" s="20">
        <v>23.6</v>
      </c>
      <c r="P61" s="20">
        <v>22.9</v>
      </c>
      <c r="Q61" s="20">
        <v>22.6</v>
      </c>
    </row>
    <row r="62" spans="1:17" x14ac:dyDescent="0.25">
      <c r="A62" s="19">
        <v>1976</v>
      </c>
      <c r="B62" s="19" t="s">
        <v>22</v>
      </c>
      <c r="C62" s="19">
        <v>60</v>
      </c>
      <c r="D62" s="20">
        <v>9.4</v>
      </c>
      <c r="E62" s="20">
        <v>15.4</v>
      </c>
      <c r="F62" s="20">
        <v>16.8</v>
      </c>
      <c r="G62" s="20">
        <v>17.100000000000001</v>
      </c>
      <c r="H62" s="20">
        <v>18.600000000000001</v>
      </c>
      <c r="I62" s="20">
        <v>18.7</v>
      </c>
      <c r="J62" s="20">
        <v>20.6</v>
      </c>
      <c r="K62" s="20">
        <v>21.3</v>
      </c>
      <c r="L62" s="20">
        <v>23.4</v>
      </c>
      <c r="M62" s="20">
        <v>22.8</v>
      </c>
      <c r="N62" s="20">
        <v>23</v>
      </c>
      <c r="O62" s="20">
        <v>23.2</v>
      </c>
      <c r="P62" s="20">
        <v>23.4</v>
      </c>
      <c r="Q62" s="20">
        <v>23.9</v>
      </c>
    </row>
    <row r="63" spans="1:17" x14ac:dyDescent="0.25">
      <c r="A63" s="19">
        <v>1976</v>
      </c>
      <c r="B63" s="19" t="s">
        <v>22</v>
      </c>
      <c r="C63" s="19">
        <v>61</v>
      </c>
      <c r="D63" s="20">
        <v>10.9</v>
      </c>
      <c r="E63" s="20">
        <v>17</v>
      </c>
      <c r="F63" s="20">
        <v>18.7</v>
      </c>
      <c r="G63" s="20">
        <v>19.2</v>
      </c>
      <c r="H63" s="20">
        <v>20.2</v>
      </c>
      <c r="I63" s="20">
        <v>20.7</v>
      </c>
      <c r="J63" s="20">
        <v>21.8</v>
      </c>
      <c r="K63" s="20">
        <v>22.8</v>
      </c>
      <c r="L63" s="20">
        <v>23.2</v>
      </c>
      <c r="M63" s="20">
        <v>24.3</v>
      </c>
      <c r="N63" s="20">
        <v>24</v>
      </c>
      <c r="O63" s="20">
        <v>25.2</v>
      </c>
      <c r="P63" s="20">
        <v>24.7</v>
      </c>
      <c r="Q63" s="20">
        <v>25.1</v>
      </c>
    </row>
    <row r="64" spans="1:17" x14ac:dyDescent="0.25">
      <c r="A64" s="19">
        <v>1976</v>
      </c>
      <c r="B64" s="19" t="s">
        <v>22</v>
      </c>
      <c r="C64" s="19">
        <v>62</v>
      </c>
      <c r="D64" s="20">
        <v>9.1</v>
      </c>
      <c r="E64" s="20">
        <v>14.6</v>
      </c>
      <c r="F64" s="20">
        <v>17</v>
      </c>
      <c r="G64" s="20">
        <v>16.3</v>
      </c>
      <c r="H64" s="20">
        <v>18.7</v>
      </c>
      <c r="I64" s="20">
        <v>19</v>
      </c>
      <c r="J64" s="20">
        <v>19.3</v>
      </c>
      <c r="K64" s="20">
        <v>18.899999999999999</v>
      </c>
      <c r="L64" s="20">
        <v>20.3</v>
      </c>
      <c r="M64" s="20">
        <v>21.2</v>
      </c>
      <c r="N64" s="20">
        <v>22.1</v>
      </c>
      <c r="O64" s="20">
        <v>21.5</v>
      </c>
      <c r="P64" s="20">
        <v>21.9</v>
      </c>
      <c r="Q64" s="20">
        <v>21.5</v>
      </c>
    </row>
    <row r="65" spans="1:17" x14ac:dyDescent="0.25">
      <c r="A65" s="19">
        <v>1976</v>
      </c>
      <c r="B65" s="19" t="s">
        <v>22</v>
      </c>
      <c r="C65" s="19">
        <v>63</v>
      </c>
      <c r="D65" s="20">
        <v>11.2</v>
      </c>
      <c r="E65" s="20">
        <v>17.8</v>
      </c>
      <c r="F65" s="20">
        <v>18.600000000000001</v>
      </c>
      <c r="G65" s="20">
        <v>19.5</v>
      </c>
      <c r="H65" s="20">
        <v>20.6</v>
      </c>
      <c r="I65" s="20">
        <v>21.6</v>
      </c>
      <c r="J65" s="20">
        <v>22.2</v>
      </c>
      <c r="K65" s="20">
        <v>22.7</v>
      </c>
      <c r="L65" s="20">
        <v>24.1</v>
      </c>
      <c r="M65" s="20">
        <v>23.7</v>
      </c>
      <c r="N65" s="20">
        <v>24.1</v>
      </c>
      <c r="O65" s="20">
        <v>24.3</v>
      </c>
      <c r="P65" s="20">
        <v>24.3</v>
      </c>
      <c r="Q65" s="20">
        <v>24.9</v>
      </c>
    </row>
    <row r="66" spans="1:17" x14ac:dyDescent="0.25">
      <c r="A66" s="19">
        <v>1976</v>
      </c>
      <c r="B66" s="19" t="s">
        <v>22</v>
      </c>
      <c r="C66" s="19">
        <v>64</v>
      </c>
      <c r="D66" s="20">
        <v>10.199999999999999</v>
      </c>
      <c r="E66" s="20">
        <v>16.100000000000001</v>
      </c>
      <c r="F66" s="20">
        <v>18</v>
      </c>
      <c r="G66" s="20">
        <v>18.3</v>
      </c>
      <c r="H66" s="20">
        <v>20</v>
      </c>
      <c r="I66" s="20">
        <v>20.3</v>
      </c>
      <c r="J66" s="20">
        <v>20.8</v>
      </c>
      <c r="K66" s="20">
        <v>21.2</v>
      </c>
      <c r="L66" s="20">
        <v>22.4</v>
      </c>
      <c r="M66" s="20">
        <v>23.8</v>
      </c>
      <c r="N66" s="20">
        <v>24.2</v>
      </c>
      <c r="O66" s="20">
        <v>24.1</v>
      </c>
      <c r="P66" s="20">
        <v>23.7</v>
      </c>
      <c r="Q66" s="20">
        <v>24.4</v>
      </c>
    </row>
    <row r="67" spans="1:17" x14ac:dyDescent="0.25">
      <c r="A67" s="19">
        <v>1976</v>
      </c>
      <c r="B67" s="19" t="s">
        <v>23</v>
      </c>
      <c r="C67" s="19">
        <v>1</v>
      </c>
      <c r="D67" s="20">
        <v>13.37</v>
      </c>
      <c r="E67" s="20">
        <v>22.31</v>
      </c>
      <c r="F67" s="20">
        <v>21.84</v>
      </c>
      <c r="G67" s="20">
        <v>25.26</v>
      </c>
      <c r="H67" s="20">
        <v>24.97</v>
      </c>
      <c r="I67" s="20">
        <v>26.09</v>
      </c>
      <c r="J67" s="20">
        <v>26.86</v>
      </c>
      <c r="K67" s="20">
        <v>27.36</v>
      </c>
      <c r="L67" s="20">
        <v>28.35</v>
      </c>
      <c r="M67" s="20">
        <v>29.52</v>
      </c>
      <c r="N67" s="20">
        <v>29.51</v>
      </c>
      <c r="O67" s="20">
        <v>29.14</v>
      </c>
      <c r="P67" s="20">
        <v>30.32</v>
      </c>
      <c r="Q67" s="20">
        <v>30.04</v>
      </c>
    </row>
    <row r="68" spans="1:17" x14ac:dyDescent="0.25">
      <c r="A68" s="19">
        <v>1976</v>
      </c>
      <c r="B68" s="19" t="s">
        <v>23</v>
      </c>
      <c r="C68" s="19">
        <v>2</v>
      </c>
      <c r="D68" s="20">
        <v>18.809999999999999</v>
      </c>
      <c r="E68" s="20">
        <v>25.51</v>
      </c>
      <c r="F68" s="20">
        <v>24.71</v>
      </c>
      <c r="G68" s="20">
        <v>22.27</v>
      </c>
      <c r="H68" s="20">
        <v>26.02</v>
      </c>
      <c r="I68" s="20">
        <v>27.2</v>
      </c>
      <c r="J68" s="20">
        <v>28.38</v>
      </c>
      <c r="K68" s="20">
        <v>28.69</v>
      </c>
      <c r="L68" s="20">
        <v>29.3</v>
      </c>
      <c r="M68" s="20">
        <v>30.53</v>
      </c>
      <c r="N68" s="20">
        <v>29.72</v>
      </c>
      <c r="O68" s="20">
        <v>30.49</v>
      </c>
      <c r="P68" s="20">
        <v>31.79</v>
      </c>
      <c r="Q68" s="20">
        <v>32.832636930141028</v>
      </c>
    </row>
    <row r="69" spans="1:17" x14ac:dyDescent="0.25">
      <c r="A69" s="19">
        <v>1976</v>
      </c>
      <c r="B69" s="19" t="s">
        <v>23</v>
      </c>
      <c r="C69" s="19">
        <v>3</v>
      </c>
      <c r="D69" s="20">
        <v>16.329999999999998</v>
      </c>
      <c r="E69" s="20">
        <v>22.48</v>
      </c>
      <c r="F69" s="20">
        <v>22.44</v>
      </c>
      <c r="G69" s="20">
        <v>22.46</v>
      </c>
      <c r="H69" s="20">
        <v>22.39</v>
      </c>
      <c r="I69" s="20">
        <v>23.04</v>
      </c>
      <c r="J69" s="20">
        <v>24.2</v>
      </c>
      <c r="K69" s="20">
        <v>25.5</v>
      </c>
      <c r="L69" s="20">
        <v>25.23</v>
      </c>
      <c r="M69" s="20">
        <v>26.43</v>
      </c>
      <c r="N69" s="20">
        <v>27.12</v>
      </c>
      <c r="O69" s="20">
        <v>27.17</v>
      </c>
      <c r="P69" s="20">
        <v>28.43</v>
      </c>
      <c r="Q69" s="20">
        <v>27.67</v>
      </c>
    </row>
    <row r="70" spans="1:17" x14ac:dyDescent="0.25">
      <c r="A70" s="19">
        <v>1976</v>
      </c>
      <c r="B70" s="19" t="s">
        <v>23</v>
      </c>
      <c r="C70" s="19">
        <v>4</v>
      </c>
      <c r="D70" s="20">
        <v>13.22</v>
      </c>
      <c r="E70" s="20">
        <v>21.22</v>
      </c>
      <c r="F70" s="20">
        <v>21.4</v>
      </c>
      <c r="G70" s="20">
        <v>22.64</v>
      </c>
      <c r="H70" s="20">
        <v>26.06</v>
      </c>
      <c r="I70" s="20">
        <v>26.66</v>
      </c>
      <c r="J70" s="20">
        <v>27.58</v>
      </c>
      <c r="K70" s="20">
        <v>28.32</v>
      </c>
      <c r="L70" s="20">
        <v>28.98</v>
      </c>
      <c r="M70" s="20">
        <v>29.98</v>
      </c>
      <c r="N70" s="20">
        <v>29.82</v>
      </c>
      <c r="O70" s="20">
        <v>29.98</v>
      </c>
      <c r="P70" s="20">
        <v>31.12</v>
      </c>
      <c r="Q70" s="20">
        <v>32.158025350233487</v>
      </c>
    </row>
    <row r="71" spans="1:17" x14ac:dyDescent="0.25">
      <c r="A71" s="19">
        <v>1976</v>
      </c>
      <c r="B71" s="19" t="s">
        <v>23</v>
      </c>
      <c r="C71" s="19">
        <v>5</v>
      </c>
      <c r="D71" s="20">
        <v>14.25</v>
      </c>
      <c r="E71" s="20">
        <v>22.92</v>
      </c>
      <c r="F71" s="20">
        <v>19.16</v>
      </c>
      <c r="G71" s="20">
        <v>22.05</v>
      </c>
      <c r="H71" s="20">
        <v>22.72</v>
      </c>
      <c r="I71" s="20">
        <v>23.95</v>
      </c>
      <c r="J71" s="20">
        <v>24.27</v>
      </c>
      <c r="K71" s="20">
        <v>24.73</v>
      </c>
      <c r="L71" s="20">
        <v>25.37</v>
      </c>
      <c r="M71" s="20">
        <v>26.1</v>
      </c>
      <c r="N71" s="20">
        <v>26.16</v>
      </c>
      <c r="O71" s="20">
        <v>26.27</v>
      </c>
      <c r="P71" s="20">
        <v>27.07</v>
      </c>
      <c r="Q71" s="20">
        <v>26.91</v>
      </c>
    </row>
    <row r="72" spans="1:17" x14ac:dyDescent="0.25">
      <c r="A72" s="19">
        <v>1976</v>
      </c>
      <c r="B72" s="19" t="s">
        <v>23</v>
      </c>
      <c r="C72" s="19">
        <v>6</v>
      </c>
      <c r="D72" s="20">
        <v>11.84</v>
      </c>
      <c r="E72" s="20">
        <v>20.78</v>
      </c>
      <c r="F72" s="20">
        <v>24.27</v>
      </c>
      <c r="G72" s="20">
        <v>23.48</v>
      </c>
      <c r="H72" s="20">
        <v>26.67</v>
      </c>
      <c r="I72" s="20">
        <v>27.07</v>
      </c>
      <c r="J72" s="20">
        <v>27.68</v>
      </c>
      <c r="K72" s="20">
        <v>28.04</v>
      </c>
      <c r="L72" s="20">
        <v>28.64</v>
      </c>
      <c r="M72" s="20">
        <v>29.17</v>
      </c>
      <c r="N72" s="20">
        <v>28.65</v>
      </c>
      <c r="O72" s="20">
        <v>29.4</v>
      </c>
      <c r="P72" s="20">
        <v>29.83</v>
      </c>
      <c r="Q72" s="20">
        <v>30.11</v>
      </c>
    </row>
    <row r="73" spans="1:17" x14ac:dyDescent="0.25">
      <c r="A73" s="19">
        <v>1976</v>
      </c>
      <c r="B73" s="19" t="s">
        <v>23</v>
      </c>
      <c r="C73" s="19">
        <v>7</v>
      </c>
      <c r="D73" s="20">
        <v>15.4</v>
      </c>
      <c r="E73" s="20">
        <v>22.9</v>
      </c>
      <c r="F73" s="20">
        <v>24.35</v>
      </c>
      <c r="G73" s="20">
        <v>25.61</v>
      </c>
      <c r="H73" s="20">
        <v>22.15</v>
      </c>
      <c r="I73" s="20">
        <v>23.44</v>
      </c>
      <c r="J73" s="20">
        <v>24.31</v>
      </c>
      <c r="K73" s="20">
        <v>24.44</v>
      </c>
      <c r="L73" s="20">
        <v>25.9</v>
      </c>
      <c r="M73" s="20">
        <v>26.67</v>
      </c>
      <c r="N73" s="20">
        <v>27.41</v>
      </c>
      <c r="O73" s="20">
        <v>27.93</v>
      </c>
      <c r="P73" s="20">
        <v>28.59</v>
      </c>
      <c r="Q73" s="20">
        <v>28.41</v>
      </c>
    </row>
    <row r="74" spans="1:17" x14ac:dyDescent="0.25">
      <c r="A74" s="19">
        <v>1976</v>
      </c>
      <c r="B74" s="19" t="s">
        <v>23</v>
      </c>
      <c r="C74" s="19">
        <v>8</v>
      </c>
      <c r="D74" s="20">
        <v>14.59</v>
      </c>
      <c r="E74" s="20">
        <v>20.98</v>
      </c>
      <c r="F74" s="20">
        <v>20.79</v>
      </c>
      <c r="G74" s="20">
        <v>24.96</v>
      </c>
      <c r="H74" s="20">
        <v>19.73</v>
      </c>
      <c r="I74" s="20">
        <v>20.6</v>
      </c>
      <c r="J74" s="20">
        <v>20.86</v>
      </c>
      <c r="K74" s="20">
        <v>21.79</v>
      </c>
      <c r="L74" s="20">
        <v>22.06</v>
      </c>
      <c r="M74" s="20">
        <v>23.5</v>
      </c>
      <c r="N74" s="20">
        <v>23.71</v>
      </c>
      <c r="O74" s="20">
        <v>24.01</v>
      </c>
      <c r="P74" s="20">
        <v>25.17</v>
      </c>
      <c r="Q74" s="20">
        <v>24.47</v>
      </c>
    </row>
    <row r="75" spans="1:17" x14ac:dyDescent="0.25">
      <c r="A75" s="19">
        <v>1976</v>
      </c>
      <c r="B75" s="19" t="s">
        <v>23</v>
      </c>
      <c r="C75" s="19">
        <v>9</v>
      </c>
      <c r="D75" s="20">
        <v>16.170000000000002</v>
      </c>
      <c r="E75" s="20">
        <v>20.28</v>
      </c>
      <c r="F75" s="20">
        <v>23.22</v>
      </c>
      <c r="G75" s="20">
        <v>19.09</v>
      </c>
      <c r="H75" s="20">
        <v>23.02</v>
      </c>
      <c r="I75" s="20">
        <v>25.05</v>
      </c>
      <c r="J75" s="20">
        <v>26.38</v>
      </c>
      <c r="K75" s="20">
        <v>26.98</v>
      </c>
      <c r="L75" s="20">
        <v>28.06</v>
      </c>
      <c r="M75" s="20">
        <v>19.16</v>
      </c>
      <c r="N75" s="20">
        <v>29.9</v>
      </c>
      <c r="O75" s="20">
        <v>30.42</v>
      </c>
      <c r="P75" s="20">
        <v>31.33</v>
      </c>
      <c r="Q75" s="20">
        <v>31.37</v>
      </c>
    </row>
    <row r="76" spans="1:17" x14ac:dyDescent="0.25">
      <c r="A76" s="19">
        <v>1976</v>
      </c>
      <c r="B76" s="19" t="s">
        <v>23</v>
      </c>
      <c r="C76" s="19">
        <v>10</v>
      </c>
      <c r="D76" s="20">
        <v>15.25</v>
      </c>
      <c r="E76" s="20">
        <v>25.01</v>
      </c>
      <c r="F76" s="20">
        <v>25.01</v>
      </c>
      <c r="G76" s="20">
        <v>23.91</v>
      </c>
      <c r="H76" s="20">
        <v>27.27</v>
      </c>
      <c r="I76" s="20">
        <v>27.55</v>
      </c>
      <c r="J76" s="20">
        <v>28.49</v>
      </c>
      <c r="K76" s="20">
        <v>29.63</v>
      </c>
      <c r="L76" s="20">
        <v>30.04</v>
      </c>
      <c r="M76" s="20">
        <v>31.32</v>
      </c>
      <c r="N76" s="20">
        <v>31.05</v>
      </c>
      <c r="O76" s="20">
        <v>31.63</v>
      </c>
      <c r="P76" s="20">
        <v>31.96</v>
      </c>
      <c r="Q76" s="20">
        <v>31.56</v>
      </c>
    </row>
    <row r="77" spans="1:17" x14ac:dyDescent="0.25">
      <c r="A77" s="19">
        <v>1976</v>
      </c>
      <c r="B77" s="19" t="s">
        <v>23</v>
      </c>
      <c r="C77" s="19">
        <v>11</v>
      </c>
      <c r="D77" s="20">
        <v>17.600000000000001</v>
      </c>
      <c r="E77" s="20">
        <v>22.39</v>
      </c>
      <c r="F77" s="20">
        <v>21.553999999999998</v>
      </c>
      <c r="G77" s="20">
        <v>25.25</v>
      </c>
      <c r="H77" s="20">
        <v>23.62</v>
      </c>
      <c r="I77" s="20">
        <v>24.27</v>
      </c>
      <c r="J77" s="20">
        <v>24.94</v>
      </c>
      <c r="K77" s="20">
        <v>26.54</v>
      </c>
      <c r="L77" s="20">
        <v>26.66</v>
      </c>
      <c r="M77" s="20">
        <v>27.19</v>
      </c>
      <c r="N77" s="20">
        <v>27.66</v>
      </c>
      <c r="O77" s="20">
        <v>27.82</v>
      </c>
      <c r="P77" s="20">
        <v>28.02</v>
      </c>
      <c r="Q77" s="20">
        <v>28.18</v>
      </c>
    </row>
    <row r="78" spans="1:17" x14ac:dyDescent="0.25">
      <c r="A78" s="19">
        <v>1976</v>
      </c>
      <c r="B78" s="19" t="s">
        <v>23</v>
      </c>
      <c r="C78" s="19">
        <v>12</v>
      </c>
      <c r="D78" s="20">
        <v>16.78</v>
      </c>
      <c r="E78" s="20">
        <v>21.54</v>
      </c>
      <c r="F78" s="20">
        <v>21.33</v>
      </c>
      <c r="G78" s="20">
        <v>21.83</v>
      </c>
      <c r="H78" s="20">
        <v>23.46</v>
      </c>
      <c r="I78" s="20">
        <v>24.03</v>
      </c>
      <c r="J78" s="20">
        <v>25.56</v>
      </c>
      <c r="K78" s="20">
        <v>25.86</v>
      </c>
      <c r="L78" s="20">
        <v>27.75</v>
      </c>
      <c r="M78" s="20">
        <v>27.74</v>
      </c>
      <c r="N78" s="20">
        <v>28.77</v>
      </c>
      <c r="O78" s="20">
        <v>29.14</v>
      </c>
      <c r="P78" s="20">
        <v>29.8</v>
      </c>
      <c r="Q78" s="20">
        <v>29.51</v>
      </c>
    </row>
    <row r="79" spans="1:17" x14ac:dyDescent="0.25">
      <c r="A79" s="19">
        <v>1976</v>
      </c>
      <c r="B79" s="19" t="s">
        <v>23</v>
      </c>
      <c r="C79" s="19">
        <v>13</v>
      </c>
      <c r="D79" s="20">
        <v>18.2</v>
      </c>
      <c r="E79" s="20">
        <v>21.74</v>
      </c>
      <c r="F79" s="20">
        <v>20.29</v>
      </c>
      <c r="G79" s="20">
        <v>19.96</v>
      </c>
      <c r="H79" s="20">
        <v>21.73</v>
      </c>
      <c r="I79" s="20">
        <v>21.7</v>
      </c>
      <c r="J79" s="20">
        <v>23.31</v>
      </c>
      <c r="K79" s="20">
        <v>24.17</v>
      </c>
      <c r="L79" s="20">
        <v>24.64</v>
      </c>
      <c r="M79" s="20">
        <v>25.73</v>
      </c>
      <c r="N79" s="20">
        <v>26.27</v>
      </c>
      <c r="O79" s="20">
        <v>27.08</v>
      </c>
      <c r="P79" s="20">
        <v>28.01</v>
      </c>
      <c r="Q79" s="20">
        <v>28.36</v>
      </c>
    </row>
    <row r="80" spans="1:17" x14ac:dyDescent="0.25">
      <c r="A80" s="19">
        <v>1976</v>
      </c>
      <c r="B80" s="19" t="s">
        <v>23</v>
      </c>
      <c r="C80" s="19">
        <v>14</v>
      </c>
      <c r="D80" s="20">
        <v>15.62</v>
      </c>
      <c r="E80" s="20">
        <v>20.43</v>
      </c>
      <c r="F80" s="20">
        <v>20.14</v>
      </c>
      <c r="G80" s="20">
        <v>22.21</v>
      </c>
      <c r="H80" s="20">
        <v>23.57</v>
      </c>
      <c r="I80" s="20">
        <v>24.65</v>
      </c>
      <c r="J80" s="20">
        <v>25.27</v>
      </c>
      <c r="K80" s="20">
        <v>26.01</v>
      </c>
      <c r="L80" s="20">
        <v>26.97</v>
      </c>
      <c r="M80" s="20">
        <v>28.04</v>
      </c>
      <c r="N80" s="20">
        <v>28.41</v>
      </c>
      <c r="O80" s="20">
        <v>28.67</v>
      </c>
      <c r="P80" s="20">
        <v>29.14</v>
      </c>
      <c r="Q80" s="20">
        <v>28.87</v>
      </c>
    </row>
    <row r="81" spans="1:17" x14ac:dyDescent="0.25">
      <c r="A81" s="19">
        <v>1976</v>
      </c>
      <c r="B81" s="19" t="s">
        <v>23</v>
      </c>
      <c r="C81" s="19">
        <v>15</v>
      </c>
      <c r="D81" s="20">
        <v>14.72</v>
      </c>
      <c r="E81" s="20">
        <v>23.91</v>
      </c>
      <c r="F81" s="20">
        <v>23.26</v>
      </c>
      <c r="G81" s="20">
        <v>23.58</v>
      </c>
      <c r="H81" s="20">
        <v>25.06</v>
      </c>
      <c r="I81" s="20">
        <v>26.29</v>
      </c>
      <c r="J81" s="20">
        <v>27.1</v>
      </c>
      <c r="K81" s="20">
        <v>27.55</v>
      </c>
      <c r="L81" s="20">
        <v>29.52</v>
      </c>
      <c r="M81" s="20">
        <v>29.75</v>
      </c>
      <c r="N81" s="20">
        <v>30.73</v>
      </c>
      <c r="O81" s="20">
        <v>30.67</v>
      </c>
      <c r="P81" s="20">
        <v>31.91</v>
      </c>
      <c r="Q81" s="20">
        <v>31.38</v>
      </c>
    </row>
    <row r="82" spans="1:17" x14ac:dyDescent="0.25">
      <c r="A82" s="19">
        <v>1976</v>
      </c>
      <c r="B82" s="19" t="s">
        <v>23</v>
      </c>
      <c r="C82" s="19">
        <v>16</v>
      </c>
      <c r="D82" s="20">
        <v>16.84</v>
      </c>
      <c r="E82" s="20">
        <v>23.42</v>
      </c>
      <c r="F82" s="20">
        <v>22.74</v>
      </c>
      <c r="G82" s="20">
        <v>20.43</v>
      </c>
      <c r="H82" s="20">
        <v>25.44</v>
      </c>
      <c r="I82" s="20">
        <v>25.86</v>
      </c>
      <c r="J82" s="20">
        <v>26.69</v>
      </c>
      <c r="K82" s="20">
        <v>27.55</v>
      </c>
      <c r="L82" s="20">
        <v>28.26</v>
      </c>
      <c r="M82" s="20">
        <v>29.03</v>
      </c>
      <c r="N82" s="20">
        <v>29.47</v>
      </c>
      <c r="O82" s="20">
        <v>29.7</v>
      </c>
      <c r="P82" s="20">
        <v>29.9</v>
      </c>
      <c r="Q82" s="20">
        <v>29.95</v>
      </c>
    </row>
    <row r="83" spans="1:17" x14ac:dyDescent="0.25">
      <c r="A83" s="19">
        <v>1976</v>
      </c>
      <c r="B83" s="19" t="s">
        <v>23</v>
      </c>
      <c r="C83" s="19">
        <v>17</v>
      </c>
      <c r="D83" s="20">
        <v>16.21</v>
      </c>
      <c r="E83" s="20">
        <v>19.34</v>
      </c>
      <c r="F83" s="20">
        <v>19.010000000000002</v>
      </c>
      <c r="G83" s="20">
        <v>19.61</v>
      </c>
      <c r="H83" s="20">
        <v>21.54</v>
      </c>
      <c r="I83" s="20">
        <v>23</v>
      </c>
      <c r="J83" s="20">
        <v>24.52</v>
      </c>
      <c r="K83" s="20">
        <v>24.88</v>
      </c>
      <c r="L83" s="20">
        <v>25.34</v>
      </c>
      <c r="M83" s="20">
        <v>26.35</v>
      </c>
      <c r="N83" s="20">
        <v>26.57</v>
      </c>
      <c r="O83" s="20">
        <v>26.81</v>
      </c>
      <c r="P83" s="20">
        <v>27.28</v>
      </c>
      <c r="Q83" s="20">
        <v>27.07</v>
      </c>
    </row>
    <row r="84" spans="1:17" x14ac:dyDescent="0.25">
      <c r="A84" s="19">
        <v>1976</v>
      </c>
      <c r="B84" s="19" t="s">
        <v>23</v>
      </c>
      <c r="C84" s="19">
        <v>18</v>
      </c>
      <c r="D84" s="20">
        <v>15.22</v>
      </c>
      <c r="E84" s="20">
        <v>19.72</v>
      </c>
      <c r="F84" s="20">
        <v>18.649999999999999</v>
      </c>
      <c r="G84" s="20">
        <v>19.53</v>
      </c>
      <c r="H84" s="20">
        <v>21.23</v>
      </c>
      <c r="I84" s="20">
        <v>22.53</v>
      </c>
      <c r="J84" s="20">
        <v>23.35</v>
      </c>
      <c r="K84" s="20">
        <v>24.68</v>
      </c>
      <c r="L84" s="20">
        <v>25.75</v>
      </c>
      <c r="M84" s="20">
        <v>25.23</v>
      </c>
      <c r="N84" s="20">
        <v>26.94</v>
      </c>
      <c r="O84" s="20">
        <v>27.48</v>
      </c>
      <c r="P84" s="20">
        <v>28.44</v>
      </c>
      <c r="Q84" s="20">
        <v>28.91</v>
      </c>
    </row>
    <row r="85" spans="1:17" x14ac:dyDescent="0.25">
      <c r="A85" s="19">
        <v>1976</v>
      </c>
      <c r="B85" s="19" t="s">
        <v>23</v>
      </c>
      <c r="C85" s="19">
        <v>19</v>
      </c>
      <c r="D85" s="20">
        <v>16.7</v>
      </c>
      <c r="E85" s="20">
        <v>23.26</v>
      </c>
      <c r="F85" s="20">
        <v>22.6</v>
      </c>
      <c r="G85" s="20">
        <v>22.64</v>
      </c>
      <c r="H85" s="20">
        <v>24.97</v>
      </c>
      <c r="I85" s="20">
        <v>25.77</v>
      </c>
      <c r="J85" s="20">
        <v>27.33</v>
      </c>
      <c r="K85" s="20">
        <v>28.12</v>
      </c>
      <c r="L85" s="20">
        <v>28.41</v>
      </c>
      <c r="M85" s="20">
        <v>29.44</v>
      </c>
      <c r="N85" s="20">
        <v>30.11</v>
      </c>
      <c r="O85" s="20">
        <v>29.94</v>
      </c>
      <c r="P85" s="20">
        <v>30.67</v>
      </c>
      <c r="Q85" s="20">
        <v>31.694382097528393</v>
      </c>
    </row>
    <row r="86" spans="1:17" x14ac:dyDescent="0.25">
      <c r="A86" s="19">
        <v>1976</v>
      </c>
      <c r="B86" s="19" t="s">
        <v>23</v>
      </c>
      <c r="C86" s="19">
        <v>20</v>
      </c>
      <c r="D86" s="20">
        <v>15.33</v>
      </c>
      <c r="E86" s="20">
        <v>21.87</v>
      </c>
      <c r="F86" s="20">
        <v>22.68</v>
      </c>
      <c r="G86" s="20">
        <v>21.8</v>
      </c>
      <c r="H86" s="20">
        <v>24.19</v>
      </c>
      <c r="I86" s="20">
        <v>24.9</v>
      </c>
      <c r="J86" s="20">
        <v>26.39</v>
      </c>
      <c r="K86" s="20">
        <v>27.05</v>
      </c>
      <c r="L86" s="20">
        <v>27.35</v>
      </c>
      <c r="M86" s="20">
        <v>29.26</v>
      </c>
      <c r="N86" s="20">
        <v>29.92</v>
      </c>
      <c r="O86" s="20">
        <v>30.78</v>
      </c>
      <c r="P86" s="20">
        <v>31.75</v>
      </c>
      <c r="Q86" s="20">
        <v>32.78151397011046</v>
      </c>
    </row>
    <row r="87" spans="1:17" x14ac:dyDescent="0.25">
      <c r="A87" s="19">
        <v>1976</v>
      </c>
      <c r="B87" s="19" t="s">
        <v>23</v>
      </c>
      <c r="C87" s="19">
        <v>21</v>
      </c>
      <c r="D87" s="20">
        <v>15</v>
      </c>
      <c r="E87" s="20">
        <v>17.5</v>
      </c>
      <c r="F87" s="20">
        <v>18.34</v>
      </c>
      <c r="G87" s="20">
        <v>22.63</v>
      </c>
      <c r="H87" s="20">
        <v>20.92</v>
      </c>
      <c r="I87" s="20">
        <v>21.75</v>
      </c>
      <c r="J87" s="20">
        <v>22.67</v>
      </c>
      <c r="K87" s="20">
        <v>23.82</v>
      </c>
      <c r="L87" s="20">
        <v>24.07</v>
      </c>
      <c r="M87" s="20">
        <v>24.49</v>
      </c>
      <c r="N87" s="20">
        <v>24.9</v>
      </c>
      <c r="O87" s="20">
        <v>24.33</v>
      </c>
      <c r="P87" s="20">
        <v>25.53</v>
      </c>
      <c r="Q87" s="20">
        <v>26.579321824907524</v>
      </c>
    </row>
    <row r="88" spans="1:17" x14ac:dyDescent="0.25">
      <c r="A88" s="19">
        <v>1976</v>
      </c>
      <c r="B88" s="19" t="s">
        <v>23</v>
      </c>
      <c r="C88" s="19">
        <v>22</v>
      </c>
      <c r="D88" s="20">
        <v>15.84</v>
      </c>
      <c r="E88" s="20">
        <v>23.81</v>
      </c>
      <c r="F88" s="20">
        <v>23.04</v>
      </c>
      <c r="G88" s="20">
        <v>23.51</v>
      </c>
      <c r="H88" s="20">
        <v>24.3</v>
      </c>
      <c r="I88" s="20">
        <v>24.67</v>
      </c>
      <c r="J88" s="20">
        <v>26.01</v>
      </c>
      <c r="K88" s="20">
        <v>26.58</v>
      </c>
      <c r="L88" s="20">
        <v>27.69</v>
      </c>
      <c r="M88" s="20">
        <v>26.41</v>
      </c>
      <c r="N88" s="20">
        <v>27.76</v>
      </c>
      <c r="O88" s="20">
        <v>28.58</v>
      </c>
      <c r="P88" s="20">
        <v>30.17</v>
      </c>
      <c r="Q88" s="20">
        <v>31.225633310006998</v>
      </c>
    </row>
    <row r="89" spans="1:17" x14ac:dyDescent="0.25">
      <c r="A89" s="19">
        <v>1976</v>
      </c>
      <c r="B89" s="19" t="s">
        <v>23</v>
      </c>
      <c r="C89" s="19">
        <v>23</v>
      </c>
      <c r="D89" s="20">
        <v>17.14</v>
      </c>
      <c r="E89" s="20">
        <v>22.6</v>
      </c>
      <c r="F89" s="20">
        <v>20.11</v>
      </c>
      <c r="G89" s="20">
        <v>23.12</v>
      </c>
      <c r="H89" s="20">
        <v>24.37</v>
      </c>
      <c r="I89" s="20">
        <v>24.05</v>
      </c>
      <c r="J89" s="20">
        <v>25.66</v>
      </c>
      <c r="K89" s="20">
        <v>26.88</v>
      </c>
      <c r="L89" s="20">
        <v>28.13</v>
      </c>
      <c r="M89" s="20">
        <v>29.04</v>
      </c>
      <c r="N89" s="20">
        <v>29.52</v>
      </c>
      <c r="O89" s="20">
        <v>29.68</v>
      </c>
      <c r="P89" s="20">
        <v>30.5</v>
      </c>
      <c r="Q89" s="20">
        <v>31.527628032345014</v>
      </c>
    </row>
    <row r="90" spans="1:17" x14ac:dyDescent="0.25">
      <c r="A90" s="19">
        <v>1976</v>
      </c>
      <c r="B90" s="19" t="s">
        <v>23</v>
      </c>
      <c r="C90" s="19">
        <v>24</v>
      </c>
      <c r="D90" s="20">
        <v>15.51</v>
      </c>
      <c r="E90" s="20">
        <v>22.22</v>
      </c>
      <c r="F90" s="20">
        <v>22.26</v>
      </c>
      <c r="G90" s="20">
        <v>23.21</v>
      </c>
      <c r="H90" s="20">
        <v>24.03</v>
      </c>
      <c r="I90" s="20">
        <v>24.67</v>
      </c>
      <c r="J90" s="20">
        <v>26.41</v>
      </c>
      <c r="K90" s="20">
        <v>27.73</v>
      </c>
      <c r="L90" s="20">
        <v>28.72</v>
      </c>
      <c r="M90" s="20">
        <v>29.15</v>
      </c>
      <c r="N90" s="20">
        <v>29.36</v>
      </c>
      <c r="O90" s="20">
        <v>29.93</v>
      </c>
      <c r="P90" s="20">
        <v>30.53</v>
      </c>
      <c r="Q90" s="20">
        <v>31.550046775810223</v>
      </c>
    </row>
    <row r="91" spans="1:17" x14ac:dyDescent="0.25">
      <c r="A91" s="19">
        <v>1976</v>
      </c>
      <c r="B91" s="19" t="s">
        <v>23</v>
      </c>
      <c r="C91" s="19">
        <v>25</v>
      </c>
      <c r="D91" s="20">
        <v>16.100000000000001</v>
      </c>
      <c r="E91" s="20">
        <v>21.06</v>
      </c>
      <c r="F91" s="20">
        <v>20.37</v>
      </c>
      <c r="G91" s="20">
        <v>21.01</v>
      </c>
      <c r="H91" s="20">
        <v>22.28</v>
      </c>
      <c r="I91" s="20">
        <v>22.55</v>
      </c>
      <c r="J91" s="20">
        <v>23.47</v>
      </c>
      <c r="K91" s="20">
        <v>23.94</v>
      </c>
      <c r="L91" s="20">
        <v>24.61</v>
      </c>
      <c r="M91" s="20">
        <v>25.51</v>
      </c>
      <c r="N91" s="20">
        <v>26.3</v>
      </c>
      <c r="O91" s="20">
        <v>26.05</v>
      </c>
      <c r="P91" s="20">
        <v>27.02</v>
      </c>
      <c r="Q91" s="20">
        <v>28.057236084452974</v>
      </c>
    </row>
    <row r="92" spans="1:17" x14ac:dyDescent="0.25">
      <c r="A92" s="19">
        <v>1976</v>
      </c>
      <c r="B92" s="19" t="s">
        <v>23</v>
      </c>
      <c r="C92" s="19">
        <v>26</v>
      </c>
      <c r="D92" s="20">
        <v>17.95</v>
      </c>
      <c r="E92" s="20">
        <v>20.350000000000001</v>
      </c>
      <c r="F92" s="20">
        <v>21.38</v>
      </c>
      <c r="G92" s="20">
        <v>23.02</v>
      </c>
      <c r="H92" s="20">
        <v>22.24</v>
      </c>
      <c r="I92" s="20">
        <v>23.36</v>
      </c>
      <c r="J92" s="20">
        <v>23.91</v>
      </c>
      <c r="K92" s="20">
        <v>25</v>
      </c>
      <c r="L92" s="20">
        <v>25.6</v>
      </c>
      <c r="M92" s="20">
        <v>26.3</v>
      </c>
      <c r="N92" s="20">
        <v>26.53</v>
      </c>
      <c r="O92" s="20">
        <v>26.91</v>
      </c>
      <c r="P92" s="20">
        <v>28.27</v>
      </c>
      <c r="Q92" s="20">
        <v>29.320538833147527</v>
      </c>
    </row>
    <row r="93" spans="1:17" x14ac:dyDescent="0.25">
      <c r="A93" s="19">
        <v>1976</v>
      </c>
      <c r="B93" s="19" t="s">
        <v>23</v>
      </c>
      <c r="C93" s="19">
        <v>27</v>
      </c>
      <c r="D93" s="20">
        <v>12</v>
      </c>
      <c r="E93" s="20">
        <v>19.7</v>
      </c>
      <c r="F93" s="20">
        <v>20.5</v>
      </c>
      <c r="G93" s="20">
        <v>21.2</v>
      </c>
      <c r="H93" s="20">
        <v>23.1</v>
      </c>
      <c r="I93" s="20">
        <v>23.8</v>
      </c>
      <c r="J93" s="20">
        <v>24.5</v>
      </c>
      <c r="K93" s="20">
        <v>25.3</v>
      </c>
      <c r="L93" s="20">
        <v>25.1</v>
      </c>
      <c r="M93" s="20">
        <v>25.6</v>
      </c>
      <c r="N93" s="20">
        <v>26.3</v>
      </c>
      <c r="O93" s="20">
        <v>26.5</v>
      </c>
      <c r="P93" s="20">
        <v>26.6</v>
      </c>
      <c r="Q93" s="20">
        <v>27.8</v>
      </c>
    </row>
    <row r="94" spans="1:17" x14ac:dyDescent="0.25">
      <c r="A94" s="19">
        <v>1976</v>
      </c>
      <c r="B94" s="19" t="s">
        <v>23</v>
      </c>
      <c r="C94" s="19">
        <v>28</v>
      </c>
      <c r="D94" s="20">
        <v>6.5</v>
      </c>
      <c r="E94" s="20">
        <v>15.7</v>
      </c>
      <c r="F94" s="20">
        <v>23.6</v>
      </c>
      <c r="G94" s="20">
        <v>25.2</v>
      </c>
      <c r="H94" s="20">
        <v>26.5</v>
      </c>
      <c r="I94" s="20">
        <v>27.7</v>
      </c>
      <c r="J94" s="20">
        <v>30.2</v>
      </c>
      <c r="K94" s="20">
        <v>31.4</v>
      </c>
      <c r="L94" s="20">
        <v>31.6</v>
      </c>
      <c r="M94" s="20">
        <v>31.1</v>
      </c>
      <c r="N94" s="20">
        <v>31.8</v>
      </c>
      <c r="O94" s="20">
        <v>32</v>
      </c>
      <c r="P94" s="20">
        <v>32</v>
      </c>
      <c r="Q94" s="20">
        <v>33</v>
      </c>
    </row>
    <row r="95" spans="1:17" x14ac:dyDescent="0.25">
      <c r="A95" s="19">
        <v>1976</v>
      </c>
      <c r="B95" s="19" t="s">
        <v>23</v>
      </c>
      <c r="C95" s="19">
        <v>29</v>
      </c>
      <c r="D95" s="20">
        <v>9.8000000000000007</v>
      </c>
      <c r="E95" s="20">
        <v>19.100000000000001</v>
      </c>
      <c r="F95" s="20">
        <v>24</v>
      </c>
      <c r="G95" s="20">
        <v>24</v>
      </c>
      <c r="H95" s="20">
        <v>25.7</v>
      </c>
      <c r="I95" s="20">
        <v>26.6</v>
      </c>
      <c r="J95" s="20">
        <v>28.2</v>
      </c>
      <c r="K95" s="20">
        <v>29.8</v>
      </c>
      <c r="L95" s="20">
        <v>30.1</v>
      </c>
      <c r="M95" s="20">
        <v>30.2</v>
      </c>
      <c r="N95" s="20">
        <v>30.8</v>
      </c>
      <c r="O95" s="20">
        <v>31</v>
      </c>
      <c r="P95" s="20">
        <v>31.7</v>
      </c>
      <c r="Q95" s="20">
        <v>31.9</v>
      </c>
    </row>
    <row r="96" spans="1:17" x14ac:dyDescent="0.25">
      <c r="A96" s="19">
        <v>1976</v>
      </c>
      <c r="B96" s="19" t="s">
        <v>23</v>
      </c>
      <c r="C96" s="19">
        <v>30</v>
      </c>
      <c r="D96" s="20">
        <v>7.4</v>
      </c>
      <c r="E96" s="20">
        <v>15.2</v>
      </c>
      <c r="F96" s="20">
        <v>22.1</v>
      </c>
      <c r="G96" s="20">
        <v>24.4</v>
      </c>
      <c r="H96" s="20">
        <v>25.5</v>
      </c>
      <c r="I96" s="20">
        <v>26.2</v>
      </c>
      <c r="J96" s="20">
        <v>28.2</v>
      </c>
      <c r="K96" s="20">
        <v>28.3</v>
      </c>
      <c r="L96" s="20">
        <v>28.5</v>
      </c>
      <c r="M96" s="20">
        <v>28.9</v>
      </c>
      <c r="N96" s="20">
        <v>29.3</v>
      </c>
      <c r="O96" s="20">
        <v>29.5</v>
      </c>
      <c r="P96" s="20">
        <v>30.2</v>
      </c>
      <c r="Q96" s="20">
        <v>30.2</v>
      </c>
    </row>
    <row r="97" spans="1:17" x14ac:dyDescent="0.25">
      <c r="A97" s="19">
        <v>1976</v>
      </c>
      <c r="B97" s="19" t="s">
        <v>23</v>
      </c>
      <c r="C97" s="19">
        <v>31</v>
      </c>
      <c r="D97" s="20">
        <v>6.8</v>
      </c>
      <c r="E97" s="20">
        <v>15.1</v>
      </c>
      <c r="F97" s="20">
        <v>23.4</v>
      </c>
      <c r="G97" s="20">
        <v>25.2</v>
      </c>
      <c r="H97" s="20">
        <v>26.9</v>
      </c>
      <c r="I97" s="20">
        <v>28.1</v>
      </c>
      <c r="J97" s="20">
        <v>29.8</v>
      </c>
      <c r="K97" s="20">
        <v>30.6</v>
      </c>
      <c r="L97" s="20">
        <v>30.3</v>
      </c>
      <c r="M97" s="20">
        <v>29.1</v>
      </c>
      <c r="N97" s="20">
        <v>29.9</v>
      </c>
      <c r="O97" s="20">
        <v>29.5</v>
      </c>
      <c r="P97" s="20">
        <v>29.4</v>
      </c>
      <c r="Q97" s="20">
        <v>30.2</v>
      </c>
    </row>
    <row r="98" spans="1:17" x14ac:dyDescent="0.25">
      <c r="A98" s="19">
        <v>1976</v>
      </c>
      <c r="B98" s="19" t="s">
        <v>23</v>
      </c>
      <c r="C98" s="19">
        <v>32</v>
      </c>
      <c r="D98" s="20">
        <v>11.9</v>
      </c>
      <c r="E98" s="20">
        <v>20.7</v>
      </c>
      <c r="F98" s="20">
        <v>22.5</v>
      </c>
      <c r="G98" s="20">
        <v>23.3</v>
      </c>
      <c r="H98" s="20">
        <v>24.6</v>
      </c>
      <c r="I98" s="20">
        <v>25.7</v>
      </c>
      <c r="J98" s="20">
        <v>27</v>
      </c>
      <c r="K98" s="20">
        <v>27.7</v>
      </c>
      <c r="L98" s="20">
        <v>28.6</v>
      </c>
      <c r="M98" s="20">
        <v>29</v>
      </c>
      <c r="N98" s="20">
        <v>29.5</v>
      </c>
      <c r="O98" s="20">
        <v>29.4</v>
      </c>
      <c r="P98" s="20">
        <v>30.2</v>
      </c>
      <c r="Q98" s="20">
        <v>30.2</v>
      </c>
    </row>
    <row r="99" spans="1:17" x14ac:dyDescent="0.25">
      <c r="A99" s="19">
        <v>1976</v>
      </c>
      <c r="B99" s="19" t="s">
        <v>23</v>
      </c>
      <c r="C99" s="19">
        <v>33</v>
      </c>
      <c r="D99" s="20">
        <v>8.1</v>
      </c>
      <c r="E99" s="20">
        <v>16.600000000000001</v>
      </c>
      <c r="F99" s="20">
        <v>23.5</v>
      </c>
      <c r="G99" s="20">
        <v>24.1</v>
      </c>
      <c r="H99" s="20">
        <v>25.3</v>
      </c>
      <c r="I99" s="20">
        <v>26.9</v>
      </c>
      <c r="J99" s="20">
        <v>27.9</v>
      </c>
      <c r="K99" s="20">
        <v>29.3</v>
      </c>
      <c r="L99" s="20">
        <v>29.7</v>
      </c>
      <c r="M99" s="20">
        <v>30.4</v>
      </c>
      <c r="N99" s="20">
        <v>30.4</v>
      </c>
      <c r="O99" s="20">
        <v>31.1</v>
      </c>
      <c r="P99" s="20">
        <v>31.3</v>
      </c>
      <c r="Q99" s="20">
        <v>31.6</v>
      </c>
    </row>
    <row r="100" spans="1:17" x14ac:dyDescent="0.25">
      <c r="A100" s="19">
        <v>1976</v>
      </c>
      <c r="B100" s="19" t="s">
        <v>23</v>
      </c>
      <c r="C100" s="19">
        <v>34</v>
      </c>
      <c r="D100" s="20">
        <v>9.1999999999999993</v>
      </c>
      <c r="E100" s="20">
        <v>17.8</v>
      </c>
      <c r="F100" s="20">
        <v>24.2</v>
      </c>
      <c r="G100" s="20">
        <v>25.7</v>
      </c>
      <c r="H100" s="20">
        <v>27</v>
      </c>
      <c r="I100" s="20">
        <v>28.8</v>
      </c>
      <c r="J100" s="20">
        <v>29.2</v>
      </c>
      <c r="K100" s="20">
        <v>30.3</v>
      </c>
      <c r="L100" s="20">
        <v>31.3</v>
      </c>
      <c r="M100" s="20">
        <v>31.6</v>
      </c>
      <c r="N100" s="20">
        <v>32.1</v>
      </c>
      <c r="O100" s="20">
        <v>32.4</v>
      </c>
      <c r="P100" s="20">
        <v>32.299999999999997</v>
      </c>
      <c r="Q100" s="20">
        <v>32.799999999999997</v>
      </c>
    </row>
    <row r="101" spans="1:17" x14ac:dyDescent="0.25">
      <c r="A101" s="19">
        <v>1976</v>
      </c>
      <c r="B101" s="19" t="s">
        <v>23</v>
      </c>
      <c r="C101" s="19">
        <v>35</v>
      </c>
      <c r="D101" s="20">
        <v>12.7</v>
      </c>
      <c r="E101" s="20">
        <v>22.1</v>
      </c>
      <c r="F101" s="20">
        <v>24.7</v>
      </c>
      <c r="G101" s="20">
        <v>24.3</v>
      </c>
      <c r="H101" s="20">
        <v>25.8</v>
      </c>
      <c r="I101" s="20">
        <v>26.1</v>
      </c>
      <c r="J101" s="20">
        <v>26.9</v>
      </c>
      <c r="K101" s="20">
        <v>28.3</v>
      </c>
      <c r="L101" s="20">
        <v>28.9</v>
      </c>
      <c r="M101" s="20">
        <v>29.2</v>
      </c>
      <c r="N101" s="20">
        <v>29.7</v>
      </c>
      <c r="O101" s="20">
        <v>29.9</v>
      </c>
      <c r="P101" s="20">
        <v>30</v>
      </c>
      <c r="Q101" s="20">
        <v>30.5</v>
      </c>
    </row>
    <row r="102" spans="1:17" x14ac:dyDescent="0.25">
      <c r="A102" s="19">
        <v>1976</v>
      </c>
      <c r="B102" s="19" t="s">
        <v>23</v>
      </c>
      <c r="C102" s="19">
        <v>36</v>
      </c>
      <c r="D102" s="20">
        <v>9.6999999999999993</v>
      </c>
      <c r="E102" s="20">
        <v>18</v>
      </c>
      <c r="F102" s="20">
        <v>23.3</v>
      </c>
      <c r="G102" s="20">
        <v>24.6</v>
      </c>
      <c r="H102" s="20">
        <v>25.2</v>
      </c>
      <c r="I102" s="20">
        <v>26.3</v>
      </c>
      <c r="J102" s="20">
        <v>27.5</v>
      </c>
      <c r="K102" s="20">
        <v>29</v>
      </c>
      <c r="L102" s="20">
        <v>29</v>
      </c>
      <c r="M102" s="20">
        <v>29.1</v>
      </c>
      <c r="N102" s="20">
        <v>29.7</v>
      </c>
      <c r="O102" s="20">
        <v>30.1</v>
      </c>
      <c r="P102" s="20">
        <v>30.3</v>
      </c>
      <c r="Q102" s="20">
        <v>31.2</v>
      </c>
    </row>
    <row r="103" spans="1:17" x14ac:dyDescent="0.25">
      <c r="A103" s="19">
        <v>1976</v>
      </c>
      <c r="B103" s="19" t="s">
        <v>23</v>
      </c>
      <c r="C103" s="19">
        <v>37</v>
      </c>
      <c r="D103" s="20">
        <v>10.6</v>
      </c>
      <c r="E103" s="20">
        <v>18.600000000000001</v>
      </c>
      <c r="F103" s="20">
        <v>21.6</v>
      </c>
      <c r="G103" s="20">
        <v>23.9</v>
      </c>
      <c r="H103" s="20">
        <v>25.4</v>
      </c>
      <c r="I103" s="20">
        <v>26.3</v>
      </c>
      <c r="J103" s="20">
        <v>27.5</v>
      </c>
      <c r="K103" s="20">
        <v>28.8</v>
      </c>
      <c r="L103" s="20">
        <v>28.5</v>
      </c>
      <c r="M103" s="20">
        <v>29</v>
      </c>
      <c r="N103" s="20">
        <v>29.9</v>
      </c>
      <c r="O103" s="20">
        <v>29.6</v>
      </c>
      <c r="P103" s="20">
        <v>30.2</v>
      </c>
      <c r="Q103" s="20">
        <v>30.7</v>
      </c>
    </row>
    <row r="104" spans="1:17" x14ac:dyDescent="0.25">
      <c r="A104" s="19">
        <v>1976</v>
      </c>
      <c r="B104" s="19" t="s">
        <v>23</v>
      </c>
      <c r="C104" s="19">
        <v>38</v>
      </c>
      <c r="D104" s="20">
        <v>8.6999999999999993</v>
      </c>
      <c r="E104" s="20">
        <v>16</v>
      </c>
      <c r="F104" s="20">
        <v>24</v>
      </c>
      <c r="G104" s="20">
        <v>24.7</v>
      </c>
      <c r="H104" s="20">
        <v>26.3</v>
      </c>
      <c r="I104" s="20">
        <v>26.8</v>
      </c>
      <c r="J104" s="20">
        <v>28.1</v>
      </c>
      <c r="K104" s="20">
        <v>29.5</v>
      </c>
      <c r="L104" s="20">
        <v>30.3</v>
      </c>
      <c r="M104" s="20">
        <v>30.4</v>
      </c>
      <c r="N104" s="20">
        <v>30.3</v>
      </c>
      <c r="O104" s="20">
        <v>30.8</v>
      </c>
      <c r="P104" s="20">
        <v>31.6</v>
      </c>
      <c r="Q104" s="20">
        <v>31.9</v>
      </c>
    </row>
    <row r="105" spans="1:17" x14ac:dyDescent="0.25">
      <c r="A105" s="19">
        <v>1976</v>
      </c>
      <c r="B105" s="19" t="s">
        <v>23</v>
      </c>
      <c r="C105" s="19">
        <v>39</v>
      </c>
      <c r="D105" s="20">
        <v>11.4</v>
      </c>
      <c r="E105" s="20">
        <v>19.3</v>
      </c>
      <c r="F105" s="20">
        <v>21.4</v>
      </c>
      <c r="G105" s="20">
        <v>22.8</v>
      </c>
      <c r="H105" s="20">
        <v>23.8</v>
      </c>
      <c r="I105" s="20">
        <v>25.4</v>
      </c>
      <c r="J105" s="20">
        <v>26.1</v>
      </c>
      <c r="K105" s="20">
        <v>26.6</v>
      </c>
      <c r="L105" s="20">
        <v>26.5</v>
      </c>
      <c r="M105" s="20">
        <v>27.2</v>
      </c>
      <c r="N105" s="20">
        <v>27.7</v>
      </c>
      <c r="O105" s="20">
        <v>28</v>
      </c>
      <c r="P105" s="20">
        <v>28.1</v>
      </c>
      <c r="Q105" s="20">
        <v>28.7</v>
      </c>
    </row>
    <row r="106" spans="1:17" x14ac:dyDescent="0.25">
      <c r="A106" s="19">
        <v>1976</v>
      </c>
      <c r="B106" s="19" t="s">
        <v>23</v>
      </c>
      <c r="C106" s="19">
        <v>40</v>
      </c>
      <c r="D106" s="20">
        <v>11.8</v>
      </c>
      <c r="E106" s="20">
        <v>19.3</v>
      </c>
      <c r="F106" s="20">
        <v>20.399999999999999</v>
      </c>
      <c r="G106" s="20">
        <v>22.1</v>
      </c>
      <c r="H106" s="20">
        <v>23.3</v>
      </c>
      <c r="I106" s="20">
        <v>24.5</v>
      </c>
      <c r="J106" s="20">
        <v>24.9</v>
      </c>
      <c r="K106" s="20">
        <v>25.5</v>
      </c>
      <c r="L106" s="20">
        <v>25.9</v>
      </c>
      <c r="M106" s="20">
        <v>27.2</v>
      </c>
      <c r="N106" s="20">
        <v>27.2</v>
      </c>
      <c r="O106" s="20">
        <v>27.5</v>
      </c>
      <c r="P106" s="20">
        <v>27.3</v>
      </c>
      <c r="Q106" s="20">
        <v>27.7</v>
      </c>
    </row>
    <row r="107" spans="1:17" x14ac:dyDescent="0.25">
      <c r="A107" s="19">
        <v>1976</v>
      </c>
      <c r="B107" s="19" t="s">
        <v>23</v>
      </c>
      <c r="C107" s="19">
        <v>41</v>
      </c>
      <c r="D107" s="20">
        <v>13.6</v>
      </c>
      <c r="E107" s="20">
        <v>21.7</v>
      </c>
      <c r="F107" s="20">
        <v>21.9</v>
      </c>
      <c r="G107" s="20">
        <v>23.6</v>
      </c>
      <c r="H107" s="20">
        <v>25</v>
      </c>
      <c r="I107" s="20">
        <v>25.5</v>
      </c>
      <c r="J107" s="20">
        <v>26.1</v>
      </c>
      <c r="K107" s="20">
        <v>26.8</v>
      </c>
      <c r="L107" s="20">
        <v>27.6</v>
      </c>
      <c r="M107" s="20">
        <v>27.9</v>
      </c>
      <c r="N107" s="20">
        <v>28.5</v>
      </c>
      <c r="O107" s="20">
        <v>29</v>
      </c>
      <c r="P107" s="20">
        <v>28.9</v>
      </c>
      <c r="Q107" s="20">
        <v>28.8</v>
      </c>
    </row>
    <row r="108" spans="1:17" x14ac:dyDescent="0.25">
      <c r="A108" s="19">
        <v>1976</v>
      </c>
      <c r="B108" s="19" t="s">
        <v>23</v>
      </c>
      <c r="C108" s="19">
        <v>42</v>
      </c>
      <c r="D108" s="20">
        <v>10.4</v>
      </c>
      <c r="E108" s="20">
        <v>19.100000000000001</v>
      </c>
      <c r="F108" s="20">
        <v>20</v>
      </c>
      <c r="G108" s="20">
        <v>22.6</v>
      </c>
      <c r="H108" s="20">
        <v>23.7</v>
      </c>
      <c r="I108" s="20">
        <v>24.4</v>
      </c>
      <c r="J108" s="20">
        <v>25.2</v>
      </c>
      <c r="K108" s="20">
        <v>25.8</v>
      </c>
      <c r="L108" s="20">
        <v>26.4</v>
      </c>
      <c r="M108" s="20">
        <v>26.9</v>
      </c>
      <c r="N108" s="20">
        <v>27.1</v>
      </c>
      <c r="O108" s="20">
        <v>28.2</v>
      </c>
      <c r="P108" s="20">
        <v>28.7</v>
      </c>
      <c r="Q108" s="20">
        <v>29.4</v>
      </c>
    </row>
    <row r="109" spans="1:17" x14ac:dyDescent="0.25">
      <c r="A109" s="19">
        <v>1976</v>
      </c>
      <c r="B109" s="19" t="s">
        <v>23</v>
      </c>
      <c r="C109" s="19">
        <v>43</v>
      </c>
      <c r="D109" s="20">
        <v>10</v>
      </c>
      <c r="E109" s="20">
        <v>18.8</v>
      </c>
      <c r="F109" s="20">
        <v>23.8</v>
      </c>
      <c r="G109" s="20">
        <v>23.6</v>
      </c>
      <c r="H109" s="20">
        <v>24.7</v>
      </c>
      <c r="I109" s="20">
        <v>26.2</v>
      </c>
      <c r="J109" s="20">
        <v>27.3</v>
      </c>
      <c r="K109" s="20">
        <v>27.5</v>
      </c>
      <c r="L109" s="20">
        <v>28</v>
      </c>
      <c r="M109" s="20">
        <v>28.6</v>
      </c>
      <c r="N109" s="20">
        <v>29</v>
      </c>
      <c r="O109" s="20">
        <v>29.7</v>
      </c>
      <c r="P109" s="20">
        <v>29.4</v>
      </c>
      <c r="Q109" s="20">
        <v>29.8</v>
      </c>
    </row>
    <row r="110" spans="1:17" x14ac:dyDescent="0.25">
      <c r="A110" s="19">
        <v>1976</v>
      </c>
      <c r="B110" s="19" t="s">
        <v>23</v>
      </c>
      <c r="C110" s="19">
        <v>44</v>
      </c>
      <c r="D110" s="20">
        <v>9.8000000000000007</v>
      </c>
      <c r="E110" s="20">
        <v>18.2</v>
      </c>
      <c r="F110" s="20">
        <v>25.6</v>
      </c>
      <c r="G110" s="20">
        <v>26.4</v>
      </c>
      <c r="H110" s="20">
        <v>27.3</v>
      </c>
      <c r="I110" s="20">
        <v>28.3</v>
      </c>
      <c r="J110" s="20">
        <v>29.4</v>
      </c>
      <c r="K110" s="20">
        <v>31</v>
      </c>
      <c r="L110" s="20">
        <v>31.4</v>
      </c>
      <c r="M110" s="20">
        <v>31.3</v>
      </c>
      <c r="N110" s="20">
        <v>31.4</v>
      </c>
      <c r="O110" s="20">
        <v>31.8</v>
      </c>
      <c r="P110" s="20">
        <v>32.1</v>
      </c>
      <c r="Q110" s="20">
        <v>33.1</v>
      </c>
    </row>
    <row r="111" spans="1:17" x14ac:dyDescent="0.25">
      <c r="A111" s="19">
        <v>1976</v>
      </c>
      <c r="B111" s="19" t="s">
        <v>23</v>
      </c>
      <c r="C111" s="19">
        <v>45</v>
      </c>
      <c r="D111" s="20">
        <v>9.4</v>
      </c>
      <c r="E111" s="20">
        <v>17.2</v>
      </c>
      <c r="F111" s="20">
        <v>23.2</v>
      </c>
      <c r="G111" s="20">
        <v>24.3</v>
      </c>
      <c r="H111" s="20">
        <v>26.1</v>
      </c>
      <c r="I111" s="20">
        <v>27.9</v>
      </c>
      <c r="J111" s="20">
        <v>28.9</v>
      </c>
      <c r="K111" s="20">
        <v>30.2</v>
      </c>
      <c r="L111" s="20">
        <v>30</v>
      </c>
      <c r="M111" s="20">
        <v>30.9</v>
      </c>
      <c r="N111" s="20">
        <v>30.9</v>
      </c>
      <c r="O111" s="20">
        <v>31.9</v>
      </c>
      <c r="P111" s="20">
        <v>32.200000000000003</v>
      </c>
      <c r="Q111" s="20">
        <v>32.299999999999997</v>
      </c>
    </row>
    <row r="112" spans="1:17" x14ac:dyDescent="0.25">
      <c r="A112" s="19">
        <v>1976</v>
      </c>
      <c r="B112" s="19" t="s">
        <v>23</v>
      </c>
      <c r="C112" s="19">
        <v>46</v>
      </c>
      <c r="D112" s="20">
        <v>10.9</v>
      </c>
      <c r="E112" s="20">
        <v>20</v>
      </c>
      <c r="F112" s="20">
        <v>23.5</v>
      </c>
      <c r="G112" s="20">
        <v>24.7</v>
      </c>
      <c r="H112" s="20">
        <v>25.5</v>
      </c>
      <c r="I112" s="20">
        <v>26.4</v>
      </c>
      <c r="J112" s="20">
        <v>26.9</v>
      </c>
      <c r="K112" s="20">
        <v>28.7</v>
      </c>
      <c r="L112" s="20">
        <v>28.8</v>
      </c>
      <c r="M112" s="20">
        <v>28.6</v>
      </c>
      <c r="N112" s="20">
        <v>28.7</v>
      </c>
      <c r="O112" s="20">
        <v>28.5</v>
      </c>
      <c r="P112" s="20">
        <v>29.1</v>
      </c>
      <c r="Q112" s="20">
        <v>29.2</v>
      </c>
    </row>
    <row r="113" spans="1:17" x14ac:dyDescent="0.25">
      <c r="A113" s="19">
        <v>1976</v>
      </c>
      <c r="B113" s="19" t="s">
        <v>23</v>
      </c>
      <c r="C113" s="19">
        <v>47</v>
      </c>
      <c r="D113" s="20">
        <v>10.7</v>
      </c>
      <c r="E113" s="20">
        <v>19</v>
      </c>
      <c r="F113" s="20">
        <v>21.5</v>
      </c>
      <c r="G113" s="20">
        <v>21.5</v>
      </c>
      <c r="H113" s="20">
        <v>23.6</v>
      </c>
      <c r="I113" s="20">
        <v>25.1</v>
      </c>
      <c r="J113" s="20">
        <v>25.7</v>
      </c>
      <c r="K113" s="20">
        <v>27.4</v>
      </c>
      <c r="L113" s="20">
        <v>28.8</v>
      </c>
      <c r="M113" s="20">
        <v>28.7</v>
      </c>
      <c r="N113" s="20">
        <v>28.6</v>
      </c>
      <c r="O113" s="20">
        <v>28.6</v>
      </c>
      <c r="P113" s="20">
        <v>29.1</v>
      </c>
      <c r="Q113" s="20">
        <v>29.5</v>
      </c>
    </row>
    <row r="114" spans="1:17" x14ac:dyDescent="0.25">
      <c r="A114" s="19">
        <v>1976</v>
      </c>
      <c r="B114" s="19" t="s">
        <v>23</v>
      </c>
      <c r="C114" s="19">
        <v>48</v>
      </c>
      <c r="D114" s="20">
        <v>11.7</v>
      </c>
      <c r="E114" s="20">
        <v>19.3</v>
      </c>
      <c r="F114" s="20">
        <v>21.1</v>
      </c>
      <c r="G114" s="20">
        <v>22.7</v>
      </c>
      <c r="H114" s="20">
        <v>23.9</v>
      </c>
      <c r="I114" s="20">
        <v>24.6</v>
      </c>
      <c r="J114" s="20">
        <v>25.7</v>
      </c>
      <c r="K114" s="20">
        <v>26.1</v>
      </c>
      <c r="L114" s="20">
        <v>26.7</v>
      </c>
      <c r="M114" s="20">
        <v>26.7</v>
      </c>
      <c r="N114" s="20">
        <v>27.1</v>
      </c>
      <c r="O114" s="20">
        <v>27.6</v>
      </c>
      <c r="P114" s="20">
        <v>28.7</v>
      </c>
      <c r="Q114" s="20">
        <v>28</v>
      </c>
    </row>
    <row r="115" spans="1:17" x14ac:dyDescent="0.25">
      <c r="A115" s="19">
        <v>1976</v>
      </c>
      <c r="B115" s="19" t="s">
        <v>23</v>
      </c>
      <c r="C115" s="19">
        <v>49</v>
      </c>
      <c r="D115" s="20">
        <v>12</v>
      </c>
      <c r="E115" s="20">
        <v>19.7</v>
      </c>
      <c r="F115" s="20">
        <v>21.1</v>
      </c>
      <c r="G115" s="20">
        <v>22.7</v>
      </c>
      <c r="H115" s="20">
        <v>24.4</v>
      </c>
      <c r="I115" s="20">
        <v>25.5</v>
      </c>
      <c r="J115" s="20">
        <v>26.6</v>
      </c>
      <c r="K115" s="20">
        <v>27.2</v>
      </c>
      <c r="L115" s="20">
        <v>27.7</v>
      </c>
      <c r="M115" s="20">
        <v>27.6</v>
      </c>
      <c r="N115" s="20">
        <v>27.8</v>
      </c>
      <c r="O115" s="20">
        <v>28.2</v>
      </c>
      <c r="P115" s="20">
        <v>28.8</v>
      </c>
      <c r="Q115" s="20">
        <v>29.2</v>
      </c>
    </row>
    <row r="116" spans="1:17" x14ac:dyDescent="0.25">
      <c r="A116" s="19">
        <v>1976</v>
      </c>
      <c r="B116" s="19" t="s">
        <v>23</v>
      </c>
      <c r="C116" s="19">
        <v>50</v>
      </c>
      <c r="D116" s="20">
        <v>10.7</v>
      </c>
      <c r="E116" s="20">
        <v>17.899999999999999</v>
      </c>
      <c r="F116" s="20">
        <v>21.7</v>
      </c>
      <c r="G116" s="20">
        <v>23</v>
      </c>
      <c r="H116" s="20">
        <v>24</v>
      </c>
      <c r="I116" s="20">
        <v>25.3</v>
      </c>
      <c r="J116" s="20">
        <v>26.3</v>
      </c>
      <c r="K116" s="20">
        <v>26.8</v>
      </c>
      <c r="L116" s="20">
        <v>27.5</v>
      </c>
      <c r="M116" s="20">
        <v>28.1</v>
      </c>
      <c r="N116" s="20">
        <v>28</v>
      </c>
      <c r="O116" s="20">
        <v>27.4</v>
      </c>
      <c r="P116" s="20">
        <v>28.3</v>
      </c>
      <c r="Q116" s="20">
        <v>28.6</v>
      </c>
    </row>
    <row r="117" spans="1:17" x14ac:dyDescent="0.25">
      <c r="A117" s="19">
        <v>1976</v>
      </c>
      <c r="B117" s="19" t="s">
        <v>23</v>
      </c>
      <c r="C117" s="19">
        <v>51</v>
      </c>
      <c r="D117" s="20">
        <v>10</v>
      </c>
      <c r="E117" s="20">
        <v>18.600000000000001</v>
      </c>
      <c r="F117" s="20">
        <v>23.1</v>
      </c>
      <c r="G117" s="20">
        <v>23.1</v>
      </c>
      <c r="H117" s="20">
        <v>24.7</v>
      </c>
      <c r="I117" s="20">
        <v>26</v>
      </c>
      <c r="J117" s="20">
        <v>27.3</v>
      </c>
      <c r="K117" s="20">
        <v>27.9</v>
      </c>
      <c r="L117" s="20">
        <v>29</v>
      </c>
      <c r="M117" s="20">
        <v>29.4</v>
      </c>
      <c r="N117" s="20">
        <v>28.5</v>
      </c>
      <c r="O117" s="20">
        <v>28.9</v>
      </c>
      <c r="P117" s="20">
        <v>28.8</v>
      </c>
      <c r="Q117" s="20">
        <v>28.8</v>
      </c>
    </row>
    <row r="118" spans="1:17" x14ac:dyDescent="0.25">
      <c r="A118" s="19">
        <v>1976</v>
      </c>
      <c r="B118" s="19" t="s">
        <v>23</v>
      </c>
      <c r="C118" s="19">
        <v>52</v>
      </c>
      <c r="D118" s="20">
        <v>10.3</v>
      </c>
      <c r="E118" s="20">
        <v>18.399999999999999</v>
      </c>
      <c r="F118" s="20">
        <v>20.8</v>
      </c>
      <c r="G118" s="20">
        <v>22.8</v>
      </c>
      <c r="H118" s="20">
        <v>23.5</v>
      </c>
      <c r="I118" s="20">
        <v>24.9</v>
      </c>
      <c r="J118" s="20">
        <v>25.4</v>
      </c>
      <c r="K118" s="20">
        <v>25.5</v>
      </c>
      <c r="L118" s="20">
        <v>26.3</v>
      </c>
      <c r="M118" s="20">
        <v>27.3</v>
      </c>
      <c r="N118" s="20">
        <v>27.3</v>
      </c>
      <c r="O118" s="20">
        <v>27.5</v>
      </c>
      <c r="P118" s="20">
        <v>27.4</v>
      </c>
      <c r="Q118" s="20">
        <v>27.7</v>
      </c>
    </row>
    <row r="119" spans="1:17" x14ac:dyDescent="0.25">
      <c r="A119" s="19">
        <v>1976</v>
      </c>
      <c r="B119" s="19" t="s">
        <v>23</v>
      </c>
      <c r="C119" s="19">
        <v>53</v>
      </c>
      <c r="D119" s="20">
        <v>12.2</v>
      </c>
      <c r="E119" s="20">
        <v>19.5</v>
      </c>
      <c r="F119" s="20">
        <v>20.8</v>
      </c>
      <c r="G119" s="20">
        <v>22.6</v>
      </c>
      <c r="H119" s="20">
        <v>23.9</v>
      </c>
      <c r="I119" s="20">
        <v>25.6</v>
      </c>
      <c r="J119" s="20">
        <v>26.8</v>
      </c>
      <c r="K119" s="20">
        <v>27</v>
      </c>
      <c r="L119" s="20">
        <v>27.6</v>
      </c>
      <c r="M119" s="20">
        <v>28.1</v>
      </c>
      <c r="N119" s="20">
        <v>27.6</v>
      </c>
      <c r="O119" s="20">
        <v>28.1</v>
      </c>
      <c r="P119" s="20">
        <v>28.6</v>
      </c>
      <c r="Q119" s="20">
        <v>29.1</v>
      </c>
    </row>
    <row r="120" spans="1:17" x14ac:dyDescent="0.25">
      <c r="A120" s="19">
        <v>1976</v>
      </c>
      <c r="B120" s="19" t="s">
        <v>23</v>
      </c>
      <c r="C120" s="19">
        <v>54</v>
      </c>
      <c r="D120" s="20">
        <v>10.1</v>
      </c>
      <c r="E120" s="20">
        <v>19</v>
      </c>
      <c r="F120" s="20">
        <v>22.4</v>
      </c>
      <c r="G120" s="20">
        <v>24.2</v>
      </c>
      <c r="H120" s="20">
        <v>25.8</v>
      </c>
      <c r="I120" s="20">
        <v>27.3</v>
      </c>
      <c r="J120" s="20">
        <v>28.6</v>
      </c>
      <c r="K120" s="20">
        <v>29.5</v>
      </c>
      <c r="L120" s="20">
        <v>30</v>
      </c>
      <c r="M120" s="20">
        <v>30.5</v>
      </c>
      <c r="N120" s="20">
        <v>31.1</v>
      </c>
      <c r="O120" s="20">
        <v>31.4</v>
      </c>
      <c r="P120" s="20">
        <v>31.8</v>
      </c>
      <c r="Q120" s="20">
        <v>31.9</v>
      </c>
    </row>
  </sheetData>
  <mergeCells count="1">
    <mergeCell ref="D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5"/>
  <sheetViews>
    <sheetView zoomScale="116" workbookViewId="0">
      <selection activeCell="D3" sqref="D3"/>
    </sheetView>
  </sheetViews>
  <sheetFormatPr defaultColWidth="8.85546875" defaultRowHeight="15" x14ac:dyDescent="0.25"/>
  <cols>
    <col min="1" max="1" width="5.85546875" style="19" bestFit="1" customWidth="1"/>
    <col min="2" max="2" width="5.7109375" style="19" customWidth="1"/>
    <col min="3" max="3" width="8.5703125" style="19" bestFit="1" customWidth="1"/>
    <col min="4" max="4" width="8.5703125" style="19" customWidth="1"/>
    <col min="5" max="5" width="8.85546875" style="19" customWidth="1"/>
    <col min="6" max="6" width="7" style="19" customWidth="1"/>
    <col min="7" max="7" width="6.7109375" style="19" customWidth="1"/>
    <col min="8" max="8" width="6.28515625" style="19" customWidth="1"/>
    <col min="9" max="9" width="7" style="19" customWidth="1"/>
    <col min="10" max="10" width="6.140625" style="19" customWidth="1"/>
    <col min="11" max="11" width="6.7109375" style="19" customWidth="1"/>
    <col min="12" max="12" width="7.7109375" style="19" customWidth="1"/>
    <col min="13" max="13" width="6.5703125" style="19" customWidth="1"/>
    <col min="14" max="14" width="7.140625" style="19" customWidth="1"/>
    <col min="15" max="15" width="8.85546875" style="19"/>
    <col min="16" max="16" width="17" style="19" customWidth="1"/>
    <col min="17" max="16384" width="8.85546875" style="19"/>
  </cols>
  <sheetData>
    <row r="1" spans="1:16" x14ac:dyDescent="0.25">
      <c r="E1" s="30" t="s">
        <v>70</v>
      </c>
      <c r="F1" s="30"/>
      <c r="G1" s="30"/>
      <c r="H1" s="30"/>
      <c r="I1" s="30"/>
      <c r="J1" s="30"/>
      <c r="K1" s="30"/>
      <c r="L1" s="30"/>
      <c r="M1" s="30"/>
      <c r="N1" s="30"/>
    </row>
    <row r="2" spans="1:16" ht="30.75" customHeight="1" x14ac:dyDescent="0.25">
      <c r="A2" s="21" t="s">
        <v>17</v>
      </c>
      <c r="B2" s="21" t="s">
        <v>18</v>
      </c>
      <c r="C2" s="17" t="s">
        <v>25</v>
      </c>
      <c r="D2" s="17"/>
      <c r="E2" s="26">
        <v>3</v>
      </c>
      <c r="F2" s="26">
        <v>5</v>
      </c>
      <c r="G2" s="26">
        <v>7</v>
      </c>
      <c r="H2" s="21">
        <v>9</v>
      </c>
      <c r="I2" s="21">
        <v>11</v>
      </c>
      <c r="J2" s="21">
        <v>12</v>
      </c>
      <c r="K2" s="21">
        <v>13</v>
      </c>
      <c r="L2" s="26">
        <v>14</v>
      </c>
      <c r="M2" s="26">
        <v>15</v>
      </c>
      <c r="N2" s="26">
        <v>16</v>
      </c>
      <c r="P2" s="19" t="s">
        <v>71</v>
      </c>
    </row>
    <row r="3" spans="1:16" ht="14.45" customHeight="1" x14ac:dyDescent="0.25">
      <c r="A3" s="19">
        <v>1976</v>
      </c>
      <c r="B3" s="19" t="s">
        <v>22</v>
      </c>
      <c r="C3" s="19">
        <v>1</v>
      </c>
      <c r="D3" s="19">
        <f>(E3-E$114)/E$115</f>
        <v>0.3297203676905795</v>
      </c>
      <c r="E3" s="22">
        <v>137</v>
      </c>
      <c r="F3" s="22">
        <v>141</v>
      </c>
      <c r="G3" s="22">
        <v>119</v>
      </c>
      <c r="H3" s="22">
        <v>133</v>
      </c>
      <c r="I3" s="22">
        <v>114</v>
      </c>
      <c r="J3" s="22">
        <v>156</v>
      </c>
      <c r="K3" s="22">
        <v>153</v>
      </c>
      <c r="L3" s="22">
        <v>114</v>
      </c>
      <c r="M3" s="22">
        <v>342</v>
      </c>
      <c r="N3" s="22">
        <v>448</v>
      </c>
    </row>
    <row r="4" spans="1:16" x14ac:dyDescent="0.25">
      <c r="A4" s="19">
        <v>1976</v>
      </c>
      <c r="B4" s="19" t="s">
        <v>22</v>
      </c>
      <c r="C4" s="19">
        <v>2</v>
      </c>
      <c r="D4" s="19">
        <f t="shared" ref="D4:D67" si="0">(E4-E$114)/E$115</f>
        <v>-0.30104903136965877</v>
      </c>
      <c r="E4" s="22">
        <v>121</v>
      </c>
      <c r="F4" s="22">
        <v>100</v>
      </c>
      <c r="G4" s="22">
        <v>114</v>
      </c>
      <c r="H4" s="22">
        <v>157</v>
      </c>
      <c r="I4" s="22">
        <v>108</v>
      </c>
      <c r="J4" s="22">
        <v>128</v>
      </c>
      <c r="K4" s="22">
        <v>142</v>
      </c>
      <c r="L4" s="22">
        <v>119</v>
      </c>
      <c r="M4" s="22">
        <v>142</v>
      </c>
      <c r="N4" s="22">
        <v>115</v>
      </c>
    </row>
    <row r="5" spans="1:16" x14ac:dyDescent="0.25">
      <c r="A5" s="19">
        <v>1976</v>
      </c>
      <c r="B5" s="19" t="s">
        <v>22</v>
      </c>
      <c r="C5" s="19">
        <v>3</v>
      </c>
      <c r="D5" s="19">
        <f t="shared" si="0"/>
        <v>0.92106667930955288</v>
      </c>
      <c r="E5" s="22">
        <v>152</v>
      </c>
      <c r="F5" s="22">
        <v>117</v>
      </c>
      <c r="G5" s="22">
        <v>81</v>
      </c>
      <c r="H5" s="22">
        <v>172</v>
      </c>
      <c r="I5" s="22">
        <v>135</v>
      </c>
      <c r="J5" s="22">
        <v>134</v>
      </c>
      <c r="K5" s="22">
        <v>138</v>
      </c>
      <c r="L5" s="22">
        <v>145</v>
      </c>
      <c r="M5" s="22">
        <v>107</v>
      </c>
      <c r="N5" s="22">
        <v>108</v>
      </c>
    </row>
    <row r="6" spans="1:16" x14ac:dyDescent="0.25">
      <c r="A6" s="19">
        <v>1976</v>
      </c>
      <c r="B6" s="19" t="s">
        <v>22</v>
      </c>
      <c r="C6" s="19">
        <v>4</v>
      </c>
      <c r="D6" s="19">
        <f t="shared" si="0"/>
        <v>0.68452815466196348</v>
      </c>
      <c r="E6" s="22">
        <v>146</v>
      </c>
      <c r="F6" s="22">
        <v>82</v>
      </c>
      <c r="G6" s="22">
        <v>105</v>
      </c>
      <c r="H6" s="22">
        <v>108</v>
      </c>
      <c r="I6" s="22">
        <v>129</v>
      </c>
      <c r="J6" s="22">
        <v>133</v>
      </c>
      <c r="K6" s="22">
        <v>109</v>
      </c>
      <c r="L6" s="22">
        <v>129</v>
      </c>
      <c r="M6" s="22">
        <v>136</v>
      </c>
      <c r="N6" s="22">
        <v>164</v>
      </c>
    </row>
    <row r="7" spans="1:16" x14ac:dyDescent="0.25">
      <c r="A7" s="19">
        <v>1976</v>
      </c>
      <c r="B7" s="19" t="s">
        <v>22</v>
      </c>
      <c r="C7" s="19">
        <v>5</v>
      </c>
      <c r="D7" s="19">
        <f t="shared" si="0"/>
        <v>-0.30104903136965877</v>
      </c>
      <c r="E7" s="22">
        <v>121</v>
      </c>
      <c r="F7" s="22">
        <v>82</v>
      </c>
      <c r="G7" s="22">
        <v>124</v>
      </c>
      <c r="H7" s="22">
        <v>127</v>
      </c>
      <c r="I7" s="22">
        <v>120</v>
      </c>
      <c r="J7" s="22">
        <v>102</v>
      </c>
      <c r="K7" s="22">
        <v>134</v>
      </c>
      <c r="L7" s="22">
        <v>129</v>
      </c>
      <c r="M7" s="22">
        <v>92</v>
      </c>
      <c r="N7" s="22">
        <v>100</v>
      </c>
    </row>
    <row r="8" spans="1:16" x14ac:dyDescent="0.25">
      <c r="A8" s="19">
        <v>1976</v>
      </c>
      <c r="B8" s="19" t="s">
        <v>22</v>
      </c>
      <c r="C8" s="19">
        <v>6</v>
      </c>
      <c r="D8" s="19">
        <f t="shared" si="0"/>
        <v>0.4479896300143742</v>
      </c>
      <c r="E8" s="22">
        <v>140</v>
      </c>
      <c r="F8" s="22">
        <v>116</v>
      </c>
      <c r="G8" s="22">
        <v>109</v>
      </c>
      <c r="H8" s="22">
        <v>110</v>
      </c>
      <c r="I8" s="22">
        <v>104</v>
      </c>
      <c r="J8" s="22">
        <v>114</v>
      </c>
      <c r="K8" s="22">
        <v>123</v>
      </c>
      <c r="L8" s="22">
        <v>94</v>
      </c>
      <c r="M8" s="22">
        <v>208</v>
      </c>
      <c r="N8" s="22">
        <v>120</v>
      </c>
    </row>
    <row r="9" spans="1:16" x14ac:dyDescent="0.25">
      <c r="A9" s="19">
        <v>1976</v>
      </c>
      <c r="B9" s="19" t="s">
        <v>22</v>
      </c>
      <c r="C9" s="19">
        <v>7</v>
      </c>
      <c r="D9" s="19">
        <f t="shared" si="0"/>
        <v>1.591259165811056</v>
      </c>
      <c r="E9" s="22">
        <v>169</v>
      </c>
      <c r="F9" s="22">
        <v>92</v>
      </c>
      <c r="G9" s="22">
        <v>103</v>
      </c>
      <c r="H9" s="22">
        <v>136</v>
      </c>
      <c r="I9" s="22">
        <v>113</v>
      </c>
      <c r="J9" s="22">
        <v>145</v>
      </c>
      <c r="K9" s="22">
        <v>141</v>
      </c>
      <c r="L9" s="22">
        <v>124</v>
      </c>
      <c r="M9" s="22">
        <v>101</v>
      </c>
      <c r="N9" s="22">
        <v>170</v>
      </c>
    </row>
    <row r="10" spans="1:16" x14ac:dyDescent="0.25">
      <c r="A10" s="19">
        <v>1976</v>
      </c>
      <c r="B10" s="19" t="s">
        <v>22</v>
      </c>
      <c r="C10" s="19">
        <v>8</v>
      </c>
      <c r="D10" s="19">
        <f t="shared" si="0"/>
        <v>0.17202801792551994</v>
      </c>
      <c r="E10" s="22">
        <v>133</v>
      </c>
      <c r="F10" s="22">
        <v>128</v>
      </c>
      <c r="G10" s="22">
        <v>107</v>
      </c>
      <c r="H10" s="23">
        <v>122</v>
      </c>
      <c r="I10" s="22">
        <v>121</v>
      </c>
      <c r="J10" s="22">
        <v>133</v>
      </c>
      <c r="K10" s="22">
        <v>117</v>
      </c>
      <c r="L10" s="22">
        <v>118</v>
      </c>
      <c r="M10" s="22">
        <v>118</v>
      </c>
      <c r="N10" s="22">
        <v>145</v>
      </c>
    </row>
    <row r="11" spans="1:16" ht="14.25" customHeight="1" x14ac:dyDescent="0.25">
      <c r="A11" s="19">
        <v>1976</v>
      </c>
      <c r="B11" s="19" t="s">
        <v>22</v>
      </c>
      <c r="C11" s="19">
        <v>9</v>
      </c>
      <c r="D11" s="19">
        <f t="shared" si="0"/>
        <v>0.48741271745563908</v>
      </c>
      <c r="E11" s="22">
        <v>141</v>
      </c>
      <c r="F11" s="22">
        <v>90</v>
      </c>
      <c r="G11" s="22">
        <v>118</v>
      </c>
      <c r="H11" s="22">
        <v>142</v>
      </c>
      <c r="I11" s="22">
        <v>120</v>
      </c>
      <c r="J11" s="22">
        <v>136</v>
      </c>
      <c r="K11" s="22">
        <v>147</v>
      </c>
      <c r="L11" s="22">
        <v>105</v>
      </c>
      <c r="M11" s="22">
        <v>117</v>
      </c>
      <c r="N11" s="22">
        <v>122</v>
      </c>
    </row>
    <row r="12" spans="1:16" x14ac:dyDescent="0.25">
      <c r="A12" s="19">
        <v>1976</v>
      </c>
      <c r="B12" s="19" t="s">
        <v>22</v>
      </c>
      <c r="C12" s="19">
        <v>10</v>
      </c>
      <c r="D12" s="19">
        <f t="shared" si="0"/>
        <v>0.6451050672206986</v>
      </c>
      <c r="E12" s="22">
        <v>145</v>
      </c>
      <c r="F12" s="22">
        <v>120</v>
      </c>
      <c r="G12" s="22">
        <v>105</v>
      </c>
      <c r="H12" s="22">
        <v>152</v>
      </c>
      <c r="I12" s="22">
        <v>123</v>
      </c>
      <c r="J12" s="22">
        <v>139</v>
      </c>
      <c r="K12" s="22">
        <v>127</v>
      </c>
      <c r="L12" s="22">
        <v>116</v>
      </c>
      <c r="M12" s="22">
        <v>88</v>
      </c>
      <c r="N12" s="22">
        <v>129</v>
      </c>
    </row>
    <row r="13" spans="1:16" x14ac:dyDescent="0.25">
      <c r="A13" s="19">
        <v>1976</v>
      </c>
      <c r="B13" s="19" t="s">
        <v>22</v>
      </c>
      <c r="C13" s="19">
        <v>11</v>
      </c>
      <c r="D13" s="19">
        <f t="shared" si="0"/>
        <v>0.72395124210322848</v>
      </c>
      <c r="E13" s="22">
        <v>147</v>
      </c>
      <c r="F13" s="22">
        <v>98</v>
      </c>
      <c r="G13" s="22">
        <v>103</v>
      </c>
      <c r="H13" s="22">
        <v>121</v>
      </c>
      <c r="I13" s="22">
        <v>105</v>
      </c>
      <c r="J13" s="22">
        <v>106</v>
      </c>
      <c r="K13" s="22">
        <v>130</v>
      </c>
      <c r="L13" s="22">
        <v>106</v>
      </c>
      <c r="M13" s="22">
        <v>93</v>
      </c>
      <c r="N13" s="22">
        <v>117</v>
      </c>
    </row>
    <row r="14" spans="1:16" x14ac:dyDescent="0.25">
      <c r="A14" s="19">
        <v>1976</v>
      </c>
      <c r="B14" s="19" t="s">
        <v>22</v>
      </c>
      <c r="C14" s="19">
        <v>12</v>
      </c>
      <c r="D14" s="19">
        <f t="shared" si="0"/>
        <v>-0.69527990578230769</v>
      </c>
      <c r="E14" s="22">
        <v>111</v>
      </c>
      <c r="F14" s="22">
        <v>97</v>
      </c>
      <c r="G14" s="22">
        <v>108</v>
      </c>
      <c r="H14" s="22">
        <v>138</v>
      </c>
      <c r="I14" s="22">
        <v>205</v>
      </c>
      <c r="J14" s="22">
        <v>126</v>
      </c>
      <c r="K14" s="22">
        <v>159</v>
      </c>
      <c r="L14" s="22">
        <v>154</v>
      </c>
      <c r="M14" s="22">
        <v>134</v>
      </c>
      <c r="N14" s="22">
        <v>200</v>
      </c>
    </row>
    <row r="15" spans="1:16" x14ac:dyDescent="0.25">
      <c r="A15" s="19">
        <v>1976</v>
      </c>
      <c r="B15" s="19" t="s">
        <v>22</v>
      </c>
      <c r="C15" s="19">
        <v>13</v>
      </c>
      <c r="D15" s="19">
        <f t="shared" si="0"/>
        <v>-0.49816446857598323</v>
      </c>
      <c r="E15" s="22">
        <v>116</v>
      </c>
      <c r="F15" s="22">
        <v>101</v>
      </c>
      <c r="G15" s="22">
        <v>84</v>
      </c>
      <c r="H15" s="22">
        <v>136</v>
      </c>
      <c r="I15" s="22">
        <v>141</v>
      </c>
      <c r="J15" s="22">
        <v>104</v>
      </c>
      <c r="K15" s="22">
        <v>129</v>
      </c>
      <c r="L15" s="22">
        <v>96</v>
      </c>
      <c r="M15" s="22">
        <v>74</v>
      </c>
      <c r="N15" s="22">
        <v>121</v>
      </c>
    </row>
    <row r="16" spans="1:16" x14ac:dyDescent="0.25">
      <c r="A16" s="19">
        <v>1976</v>
      </c>
      <c r="B16" s="19" t="s">
        <v>22</v>
      </c>
      <c r="C16" s="19">
        <v>14</v>
      </c>
      <c r="D16" s="19">
        <f t="shared" si="0"/>
        <v>-1.1289338676362215</v>
      </c>
      <c r="E16" s="22">
        <v>100</v>
      </c>
      <c r="F16" s="22">
        <v>84</v>
      </c>
      <c r="G16" s="22">
        <v>110</v>
      </c>
      <c r="H16" s="22">
        <v>102</v>
      </c>
      <c r="I16" s="22">
        <v>117</v>
      </c>
      <c r="J16" s="22">
        <v>105</v>
      </c>
      <c r="K16" s="22">
        <v>115</v>
      </c>
      <c r="L16" s="22">
        <v>104</v>
      </c>
      <c r="M16" s="22">
        <v>113</v>
      </c>
      <c r="N16" s="22">
        <v>107</v>
      </c>
    </row>
    <row r="17" spans="1:14" x14ac:dyDescent="0.25">
      <c r="A17" s="19">
        <v>1976</v>
      </c>
      <c r="B17" s="19" t="s">
        <v>22</v>
      </c>
      <c r="C17" s="19">
        <v>15</v>
      </c>
      <c r="D17" s="19">
        <f t="shared" si="0"/>
        <v>-0.26162594392839389</v>
      </c>
      <c r="E17" s="22">
        <v>122</v>
      </c>
      <c r="F17" s="22">
        <v>87</v>
      </c>
      <c r="G17" s="22">
        <v>104</v>
      </c>
      <c r="H17" s="22">
        <v>129</v>
      </c>
      <c r="I17" s="22">
        <v>139</v>
      </c>
      <c r="J17" s="22">
        <v>125</v>
      </c>
      <c r="K17" s="22">
        <v>178</v>
      </c>
      <c r="L17" s="22">
        <v>134</v>
      </c>
      <c r="M17" s="22">
        <v>157</v>
      </c>
      <c r="N17" s="22">
        <v>434</v>
      </c>
    </row>
    <row r="18" spans="1:14" x14ac:dyDescent="0.25">
      <c r="A18" s="19">
        <v>1976</v>
      </c>
      <c r="B18" s="19" t="s">
        <v>22</v>
      </c>
      <c r="C18" s="19">
        <v>16</v>
      </c>
      <c r="D18" s="19">
        <f t="shared" si="0"/>
        <v>-2.5087419280804525E-2</v>
      </c>
      <c r="E18" s="22">
        <v>128</v>
      </c>
      <c r="F18" s="22">
        <v>96</v>
      </c>
      <c r="G18" s="22">
        <v>115</v>
      </c>
      <c r="H18" s="22">
        <v>130</v>
      </c>
      <c r="I18" s="22">
        <v>137</v>
      </c>
      <c r="J18" s="22">
        <v>116</v>
      </c>
      <c r="K18" s="22">
        <v>160</v>
      </c>
      <c r="L18" s="22">
        <v>94</v>
      </c>
      <c r="M18" s="22">
        <v>125</v>
      </c>
      <c r="N18" s="22">
        <v>129</v>
      </c>
    </row>
    <row r="19" spans="1:14" x14ac:dyDescent="0.25">
      <c r="A19" s="19">
        <v>1976</v>
      </c>
      <c r="B19" s="19" t="s">
        <v>22</v>
      </c>
      <c r="C19" s="19">
        <v>17</v>
      </c>
      <c r="D19" s="19">
        <f t="shared" si="0"/>
        <v>0.76337432954449336</v>
      </c>
      <c r="E19" s="22">
        <v>148</v>
      </c>
      <c r="F19" s="22">
        <v>74</v>
      </c>
      <c r="G19" s="22">
        <v>108</v>
      </c>
      <c r="H19" s="22">
        <v>143</v>
      </c>
      <c r="I19" s="22">
        <v>123</v>
      </c>
      <c r="J19" s="22">
        <v>94</v>
      </c>
      <c r="K19" s="22">
        <v>163</v>
      </c>
      <c r="L19" s="22">
        <v>173</v>
      </c>
      <c r="M19" s="22">
        <v>326</v>
      </c>
      <c r="N19" s="22">
        <v>446</v>
      </c>
    </row>
    <row r="20" spans="1:14" x14ac:dyDescent="0.25">
      <c r="A20" s="19">
        <v>1976</v>
      </c>
      <c r="B20" s="19" t="s">
        <v>22</v>
      </c>
      <c r="C20" s="22">
        <v>18</v>
      </c>
      <c r="D20" s="19">
        <f t="shared" si="0"/>
        <v>0.17202801792551994</v>
      </c>
      <c r="E20" s="22">
        <v>133</v>
      </c>
      <c r="F20" s="22">
        <v>113</v>
      </c>
      <c r="G20" s="22">
        <v>90</v>
      </c>
      <c r="H20" s="22">
        <v>99</v>
      </c>
      <c r="I20" s="22">
        <v>91</v>
      </c>
      <c r="J20" s="22">
        <v>87</v>
      </c>
      <c r="K20" s="22">
        <v>111</v>
      </c>
      <c r="L20" s="22">
        <v>116</v>
      </c>
      <c r="M20" s="22">
        <v>146</v>
      </c>
      <c r="N20" s="22">
        <v>147</v>
      </c>
    </row>
    <row r="21" spans="1:14" x14ac:dyDescent="0.25">
      <c r="A21" s="19">
        <v>1976</v>
      </c>
      <c r="B21" s="19" t="s">
        <v>22</v>
      </c>
      <c r="C21" s="22">
        <v>19</v>
      </c>
      <c r="D21" s="19">
        <f t="shared" si="0"/>
        <v>0.52683580489690396</v>
      </c>
      <c r="E21" s="22">
        <v>142</v>
      </c>
      <c r="F21" s="22">
        <v>139</v>
      </c>
      <c r="G21" s="22">
        <v>113</v>
      </c>
      <c r="H21" s="22">
        <v>115</v>
      </c>
      <c r="I21" s="22">
        <v>126</v>
      </c>
      <c r="J21" s="22">
        <v>98</v>
      </c>
      <c r="K21" s="22">
        <v>150</v>
      </c>
      <c r="L21" s="22">
        <v>130</v>
      </c>
      <c r="M21" s="22">
        <v>120</v>
      </c>
      <c r="N21" s="22">
        <v>177</v>
      </c>
    </row>
    <row r="22" spans="1:14" x14ac:dyDescent="0.25">
      <c r="A22" s="19">
        <v>1976</v>
      </c>
      <c r="B22" s="19" t="s">
        <v>22</v>
      </c>
      <c r="C22" s="22">
        <v>20</v>
      </c>
      <c r="D22" s="19">
        <f t="shared" si="0"/>
        <v>0.3297203676905795</v>
      </c>
      <c r="E22" s="22">
        <v>137</v>
      </c>
      <c r="F22" s="22">
        <v>124</v>
      </c>
      <c r="G22" s="22">
        <v>122</v>
      </c>
      <c r="H22" s="22">
        <v>109</v>
      </c>
      <c r="I22" s="22">
        <v>96</v>
      </c>
      <c r="J22" s="22">
        <v>128</v>
      </c>
      <c r="K22" s="22">
        <v>143</v>
      </c>
      <c r="L22" s="22">
        <v>134</v>
      </c>
      <c r="M22" s="22">
        <v>115</v>
      </c>
      <c r="N22" s="22">
        <v>230</v>
      </c>
    </row>
    <row r="23" spans="1:14" x14ac:dyDescent="0.25">
      <c r="A23" s="19">
        <v>1976</v>
      </c>
      <c r="B23" s="19" t="s">
        <v>22</v>
      </c>
      <c r="C23" s="24">
        <v>21</v>
      </c>
      <c r="D23" s="19">
        <f t="shared" si="0"/>
        <v>-0.34047211881092365</v>
      </c>
      <c r="E23" s="22">
        <v>120</v>
      </c>
      <c r="F23" s="22">
        <v>120</v>
      </c>
      <c r="G23" s="22">
        <v>96</v>
      </c>
      <c r="H23" s="22">
        <v>112</v>
      </c>
      <c r="I23" s="22">
        <v>114</v>
      </c>
      <c r="J23" s="22">
        <v>132</v>
      </c>
      <c r="K23" s="22">
        <v>126</v>
      </c>
      <c r="L23" s="22">
        <v>113</v>
      </c>
      <c r="M23" s="22">
        <v>124</v>
      </c>
      <c r="N23" s="22">
        <v>149</v>
      </c>
    </row>
    <row r="24" spans="1:14" x14ac:dyDescent="0.25">
      <c r="A24" s="19">
        <v>1976</v>
      </c>
      <c r="B24" s="19" t="s">
        <v>22</v>
      </c>
      <c r="C24" s="24">
        <v>22</v>
      </c>
      <c r="D24" s="19">
        <f t="shared" si="0"/>
        <v>-0.93181843042989709</v>
      </c>
      <c r="E24" s="22">
        <v>105</v>
      </c>
      <c r="F24" s="22">
        <v>115</v>
      </c>
      <c r="G24" s="22">
        <v>96</v>
      </c>
      <c r="H24" s="22">
        <v>98</v>
      </c>
      <c r="I24" s="22">
        <v>105</v>
      </c>
      <c r="J24" s="22">
        <v>100</v>
      </c>
      <c r="K24" s="22">
        <v>113</v>
      </c>
      <c r="L24" s="22">
        <v>96</v>
      </c>
      <c r="M24" s="22">
        <v>102</v>
      </c>
      <c r="N24" s="22">
        <v>157</v>
      </c>
    </row>
    <row r="25" spans="1:14" x14ac:dyDescent="0.25">
      <c r="A25" s="19">
        <v>1976</v>
      </c>
      <c r="B25" s="19" t="s">
        <v>22</v>
      </c>
      <c r="C25" s="24">
        <v>23</v>
      </c>
      <c r="D25" s="19">
        <f t="shared" si="0"/>
        <v>-1.1683569550774864</v>
      </c>
      <c r="E25" s="22">
        <v>99</v>
      </c>
      <c r="F25" s="22">
        <v>124</v>
      </c>
      <c r="G25" s="22">
        <v>129</v>
      </c>
      <c r="H25" s="22">
        <v>92</v>
      </c>
      <c r="I25" s="22">
        <v>120</v>
      </c>
      <c r="J25" s="22">
        <v>93</v>
      </c>
      <c r="K25" s="22">
        <v>111</v>
      </c>
      <c r="L25" s="22">
        <v>71</v>
      </c>
      <c r="M25" s="22">
        <v>79</v>
      </c>
      <c r="N25" s="22">
        <v>120</v>
      </c>
    </row>
    <row r="26" spans="1:14" x14ac:dyDescent="0.25">
      <c r="A26" s="19">
        <v>1976</v>
      </c>
      <c r="B26" s="19" t="s">
        <v>22</v>
      </c>
      <c r="C26" s="24">
        <v>24</v>
      </c>
      <c r="D26" s="19">
        <f t="shared" si="0"/>
        <v>-0.65585681834104281</v>
      </c>
      <c r="E26" s="22">
        <v>112</v>
      </c>
      <c r="F26" s="22">
        <v>140</v>
      </c>
      <c r="G26" s="22">
        <v>127</v>
      </c>
      <c r="H26" s="22">
        <v>143</v>
      </c>
      <c r="I26" s="22">
        <v>124</v>
      </c>
      <c r="J26" s="22">
        <v>124</v>
      </c>
      <c r="K26" s="22">
        <v>125</v>
      </c>
      <c r="L26" s="22">
        <v>146</v>
      </c>
      <c r="M26" s="22">
        <v>176</v>
      </c>
      <c r="N26" s="22">
        <v>319</v>
      </c>
    </row>
    <row r="27" spans="1:14" x14ac:dyDescent="0.25">
      <c r="A27" s="19">
        <v>1976</v>
      </c>
      <c r="B27" s="19" t="s">
        <v>22</v>
      </c>
      <c r="C27" s="24">
        <v>25</v>
      </c>
      <c r="D27" s="19">
        <f t="shared" si="0"/>
        <v>-1.4837416546076057</v>
      </c>
      <c r="E27" s="22">
        <v>91</v>
      </c>
      <c r="F27" s="22">
        <v>126</v>
      </c>
      <c r="G27" s="22">
        <v>106</v>
      </c>
      <c r="H27" s="22">
        <v>137</v>
      </c>
      <c r="I27" s="22">
        <v>142</v>
      </c>
      <c r="J27" s="22">
        <v>156</v>
      </c>
      <c r="K27" s="22">
        <v>107</v>
      </c>
      <c r="L27" s="22">
        <v>89</v>
      </c>
      <c r="M27" s="22">
        <v>105</v>
      </c>
      <c r="N27" s="22">
        <v>87</v>
      </c>
    </row>
    <row r="28" spans="1:14" x14ac:dyDescent="0.25">
      <c r="A28" s="19">
        <v>1976</v>
      </c>
      <c r="B28" s="19" t="s">
        <v>22</v>
      </c>
      <c r="C28" s="24">
        <v>26</v>
      </c>
      <c r="D28" s="19">
        <f t="shared" si="0"/>
        <v>-0.22220285648712898</v>
      </c>
      <c r="E28" s="22">
        <v>123</v>
      </c>
      <c r="F28" s="22">
        <v>124</v>
      </c>
      <c r="G28" s="22">
        <v>105</v>
      </c>
      <c r="H28" s="22">
        <v>123</v>
      </c>
      <c r="I28" s="22">
        <v>109</v>
      </c>
      <c r="J28" s="22">
        <v>117</v>
      </c>
      <c r="K28" s="22">
        <v>110</v>
      </c>
      <c r="L28" s="22">
        <v>115</v>
      </c>
      <c r="M28" s="22">
        <v>97</v>
      </c>
      <c r="N28" s="22">
        <v>90</v>
      </c>
    </row>
    <row r="29" spans="1:14" x14ac:dyDescent="0.25">
      <c r="A29" s="19">
        <v>1976</v>
      </c>
      <c r="B29" s="19" t="s">
        <v>22</v>
      </c>
      <c r="C29" s="24">
        <f t="shared" ref="C29:C49" si="1">C28+1</f>
        <v>27</v>
      </c>
      <c r="D29" s="19">
        <f t="shared" si="0"/>
        <v>-0.30104903136965877</v>
      </c>
      <c r="E29" s="22">
        <v>121</v>
      </c>
      <c r="F29" s="22">
        <v>120</v>
      </c>
      <c r="G29" s="22">
        <v>129</v>
      </c>
      <c r="H29" s="22">
        <v>102</v>
      </c>
      <c r="I29" s="22">
        <v>117</v>
      </c>
      <c r="J29" s="22">
        <v>98</v>
      </c>
      <c r="K29" s="22">
        <v>113</v>
      </c>
      <c r="L29" s="22">
        <v>129</v>
      </c>
      <c r="M29" s="22">
        <v>100</v>
      </c>
      <c r="N29" s="22">
        <v>96</v>
      </c>
    </row>
    <row r="30" spans="1:14" x14ac:dyDescent="0.25">
      <c r="A30" s="19">
        <v>1976</v>
      </c>
      <c r="B30" s="19" t="s">
        <v>22</v>
      </c>
      <c r="C30" s="24">
        <f t="shared" si="1"/>
        <v>28</v>
      </c>
      <c r="D30" s="19">
        <f t="shared" si="0"/>
        <v>-0.14335668160459919</v>
      </c>
      <c r="E30" s="22">
        <v>125</v>
      </c>
      <c r="F30" s="22">
        <v>122</v>
      </c>
      <c r="G30" s="22">
        <v>115</v>
      </c>
      <c r="H30" s="22">
        <v>153</v>
      </c>
      <c r="I30" s="22">
        <v>134</v>
      </c>
      <c r="J30" s="22">
        <v>127</v>
      </c>
      <c r="K30" s="22">
        <v>143</v>
      </c>
      <c r="L30" s="22">
        <v>133</v>
      </c>
      <c r="M30" s="22">
        <v>96</v>
      </c>
      <c r="N30" s="22">
        <v>105</v>
      </c>
    </row>
    <row r="31" spans="1:14" x14ac:dyDescent="0.25">
      <c r="A31" s="19">
        <v>1976</v>
      </c>
      <c r="B31" s="19" t="s">
        <v>22</v>
      </c>
      <c r="C31" s="24">
        <f t="shared" si="1"/>
        <v>29</v>
      </c>
      <c r="D31" s="19">
        <f t="shared" si="0"/>
        <v>-1.6020109169314003</v>
      </c>
      <c r="E31" s="22">
        <v>88</v>
      </c>
      <c r="F31" s="22">
        <v>123</v>
      </c>
      <c r="G31" s="22">
        <v>78</v>
      </c>
      <c r="H31" s="22">
        <v>138</v>
      </c>
      <c r="I31" s="22">
        <v>130</v>
      </c>
      <c r="J31" s="22">
        <v>109</v>
      </c>
      <c r="K31" s="22">
        <v>103</v>
      </c>
      <c r="L31" s="22">
        <v>136</v>
      </c>
      <c r="M31" s="22">
        <v>101</v>
      </c>
      <c r="N31" s="22">
        <v>235</v>
      </c>
    </row>
    <row r="32" spans="1:14" x14ac:dyDescent="0.25">
      <c r="A32" s="19">
        <v>1976</v>
      </c>
      <c r="B32" s="19" t="s">
        <v>22</v>
      </c>
      <c r="C32" s="24">
        <v>30</v>
      </c>
      <c r="D32" s="19">
        <f t="shared" si="0"/>
        <v>0.56625889233816884</v>
      </c>
      <c r="E32" s="22">
        <v>143</v>
      </c>
      <c r="F32" s="22">
        <v>93</v>
      </c>
      <c r="G32" s="22">
        <v>82</v>
      </c>
      <c r="H32" s="22">
        <v>128</v>
      </c>
      <c r="I32" s="22">
        <v>133</v>
      </c>
      <c r="J32" s="22">
        <v>151</v>
      </c>
      <c r="K32" s="22">
        <v>114</v>
      </c>
      <c r="L32" s="22">
        <v>98</v>
      </c>
      <c r="M32" s="22">
        <v>118</v>
      </c>
      <c r="N32" s="22">
        <v>117</v>
      </c>
    </row>
    <row r="33" spans="1:14" x14ac:dyDescent="0.25">
      <c r="A33" s="19">
        <v>1976</v>
      </c>
      <c r="B33" s="19" t="s">
        <v>22</v>
      </c>
      <c r="C33" s="24">
        <v>31</v>
      </c>
      <c r="D33" s="19">
        <f t="shared" si="0"/>
        <v>-0.81354916810610234</v>
      </c>
      <c r="E33" s="22">
        <v>108</v>
      </c>
      <c r="F33" s="22">
        <v>120</v>
      </c>
      <c r="G33" s="22">
        <v>109</v>
      </c>
      <c r="H33" s="22">
        <v>141</v>
      </c>
      <c r="I33" s="22">
        <v>98</v>
      </c>
      <c r="J33" s="22">
        <v>120</v>
      </c>
      <c r="K33" s="22">
        <v>142</v>
      </c>
      <c r="L33" s="22">
        <v>254</v>
      </c>
      <c r="M33" s="22">
        <v>186</v>
      </c>
      <c r="N33" s="22">
        <v>538</v>
      </c>
    </row>
    <row r="34" spans="1:14" x14ac:dyDescent="0.25">
      <c r="A34" s="19">
        <v>1976</v>
      </c>
      <c r="B34" s="19" t="s">
        <v>22</v>
      </c>
      <c r="C34" s="24">
        <v>32</v>
      </c>
      <c r="D34" s="19">
        <f t="shared" si="0"/>
        <v>0.3297203676905795</v>
      </c>
      <c r="E34" s="22">
        <v>137</v>
      </c>
      <c r="F34" s="22">
        <v>112</v>
      </c>
      <c r="G34" s="22">
        <v>101</v>
      </c>
      <c r="H34" s="22">
        <v>109</v>
      </c>
      <c r="I34" s="22">
        <v>122</v>
      </c>
      <c r="J34" s="22">
        <v>94</v>
      </c>
      <c r="K34" s="22">
        <v>79</v>
      </c>
      <c r="L34" s="22">
        <v>109</v>
      </c>
      <c r="M34" s="22">
        <v>89</v>
      </c>
      <c r="N34" s="22">
        <v>91</v>
      </c>
    </row>
    <row r="35" spans="1:14" x14ac:dyDescent="0.25">
      <c r="A35" s="19">
        <v>1976</v>
      </c>
      <c r="B35" s="19" t="s">
        <v>22</v>
      </c>
      <c r="C35" s="24">
        <f t="shared" si="1"/>
        <v>33</v>
      </c>
      <c r="D35" s="19">
        <f t="shared" si="0"/>
        <v>-1.5231647420488705</v>
      </c>
      <c r="E35" s="22">
        <v>90</v>
      </c>
      <c r="F35" s="22">
        <v>135</v>
      </c>
      <c r="G35" s="22">
        <v>121</v>
      </c>
      <c r="H35" s="22">
        <v>118</v>
      </c>
      <c r="I35" s="22">
        <v>126</v>
      </c>
      <c r="J35" s="22">
        <v>132</v>
      </c>
      <c r="K35" s="22">
        <v>123</v>
      </c>
      <c r="L35" s="22">
        <v>114</v>
      </c>
      <c r="M35" s="22">
        <v>133</v>
      </c>
      <c r="N35" s="22">
        <v>104</v>
      </c>
    </row>
    <row r="36" spans="1:14" x14ac:dyDescent="0.25">
      <c r="A36" s="19">
        <v>1976</v>
      </c>
      <c r="B36" s="19" t="s">
        <v>22</v>
      </c>
      <c r="C36" s="24">
        <f t="shared" si="1"/>
        <v>34</v>
      </c>
      <c r="D36" s="19">
        <f t="shared" si="0"/>
        <v>-1.4443185671663406</v>
      </c>
      <c r="E36" s="22">
        <v>92</v>
      </c>
      <c r="F36" s="22">
        <v>125</v>
      </c>
      <c r="G36" s="22">
        <v>111</v>
      </c>
      <c r="H36" s="22">
        <v>112</v>
      </c>
      <c r="I36" s="22">
        <v>105</v>
      </c>
      <c r="J36" s="22">
        <v>107</v>
      </c>
      <c r="K36" s="22">
        <v>122</v>
      </c>
      <c r="L36" s="22">
        <v>109</v>
      </c>
      <c r="M36" s="22">
        <v>200</v>
      </c>
      <c r="N36" s="22">
        <v>120</v>
      </c>
    </row>
    <row r="37" spans="1:14" x14ac:dyDescent="0.25">
      <c r="A37" s="19">
        <v>1976</v>
      </c>
      <c r="B37" s="19" t="s">
        <v>22</v>
      </c>
      <c r="C37" s="24">
        <v>35</v>
      </c>
      <c r="D37" s="19">
        <f t="shared" si="0"/>
        <v>-1.4443185671663406</v>
      </c>
      <c r="E37" s="22">
        <v>92</v>
      </c>
      <c r="F37" s="22">
        <v>130</v>
      </c>
      <c r="G37" s="22">
        <v>123</v>
      </c>
      <c r="H37" s="22">
        <v>132</v>
      </c>
      <c r="I37" s="22">
        <v>112</v>
      </c>
      <c r="J37" s="22">
        <v>120</v>
      </c>
      <c r="K37" s="22">
        <v>139</v>
      </c>
      <c r="L37" s="22">
        <v>116</v>
      </c>
      <c r="M37" s="22">
        <v>119</v>
      </c>
      <c r="N37" s="22">
        <v>135</v>
      </c>
    </row>
    <row r="38" spans="1:14" x14ac:dyDescent="0.25">
      <c r="A38" s="19">
        <v>1976</v>
      </c>
      <c r="B38" s="19" t="s">
        <v>22</v>
      </c>
      <c r="C38" s="24">
        <v>36</v>
      </c>
      <c r="D38" s="19">
        <f t="shared" si="0"/>
        <v>-2.5087419280804525E-2</v>
      </c>
      <c r="E38" s="22">
        <v>128</v>
      </c>
      <c r="F38" s="22">
        <v>104</v>
      </c>
      <c r="G38" s="22">
        <v>116</v>
      </c>
      <c r="H38" s="22">
        <v>102</v>
      </c>
      <c r="I38" s="22">
        <v>138</v>
      </c>
      <c r="J38" s="22">
        <v>123</v>
      </c>
      <c r="K38" s="22">
        <v>131</v>
      </c>
      <c r="L38" s="22">
        <v>120</v>
      </c>
      <c r="M38" s="22">
        <v>89</v>
      </c>
      <c r="N38" s="22">
        <v>85</v>
      </c>
    </row>
    <row r="39" spans="1:14" x14ac:dyDescent="0.25">
      <c r="A39" s="19">
        <v>1976</v>
      </c>
      <c r="B39" s="19" t="s">
        <v>22</v>
      </c>
      <c r="C39" s="24">
        <v>37</v>
      </c>
      <c r="D39" s="19">
        <f t="shared" si="0"/>
        <v>-1.0500876927536917</v>
      </c>
      <c r="E39" s="22">
        <v>102</v>
      </c>
      <c r="F39" s="22">
        <v>121</v>
      </c>
      <c r="G39" s="22">
        <v>95</v>
      </c>
      <c r="H39" s="22">
        <v>140</v>
      </c>
      <c r="I39" s="22">
        <v>130</v>
      </c>
      <c r="J39" s="22">
        <v>113</v>
      </c>
      <c r="K39" s="22">
        <v>114</v>
      </c>
      <c r="L39" s="22">
        <v>116</v>
      </c>
      <c r="M39" s="22">
        <v>114</v>
      </c>
      <c r="N39" s="22">
        <v>78</v>
      </c>
    </row>
    <row r="40" spans="1:14" x14ac:dyDescent="0.25">
      <c r="A40" s="19">
        <v>1976</v>
      </c>
      <c r="B40" s="19" t="s">
        <v>22</v>
      </c>
      <c r="C40" s="24">
        <v>38</v>
      </c>
      <c r="D40" s="19">
        <f t="shared" si="0"/>
        <v>-0.61643373089977793</v>
      </c>
      <c r="E40" s="22">
        <v>113</v>
      </c>
      <c r="F40" s="22">
        <v>87</v>
      </c>
      <c r="G40" s="22">
        <v>100</v>
      </c>
      <c r="H40" s="22">
        <v>103</v>
      </c>
      <c r="I40" s="22">
        <v>169</v>
      </c>
      <c r="J40" s="22">
        <v>128</v>
      </c>
      <c r="K40" s="22">
        <v>123</v>
      </c>
      <c r="L40" s="22">
        <v>115</v>
      </c>
      <c r="M40" s="22">
        <v>120</v>
      </c>
      <c r="N40" s="22">
        <v>141</v>
      </c>
    </row>
    <row r="41" spans="1:14" x14ac:dyDescent="0.25">
      <c r="A41" s="19">
        <v>1976</v>
      </c>
      <c r="B41" s="19" t="s">
        <v>22</v>
      </c>
      <c r="C41" s="24">
        <v>39</v>
      </c>
      <c r="D41" s="19">
        <f t="shared" si="0"/>
        <v>-0.61643373089977793</v>
      </c>
      <c r="E41" s="22">
        <v>113</v>
      </c>
      <c r="F41" s="22">
        <v>110</v>
      </c>
      <c r="G41" s="22">
        <v>111</v>
      </c>
      <c r="H41" s="22">
        <v>123</v>
      </c>
      <c r="I41" s="22">
        <v>90</v>
      </c>
      <c r="J41" s="22">
        <v>157</v>
      </c>
      <c r="K41" s="22">
        <v>111</v>
      </c>
      <c r="L41" s="22">
        <v>116</v>
      </c>
      <c r="M41" s="22">
        <v>108</v>
      </c>
      <c r="N41" s="22">
        <v>106</v>
      </c>
    </row>
    <row r="42" spans="1:14" x14ac:dyDescent="0.25">
      <c r="A42" s="19">
        <v>1976</v>
      </c>
      <c r="B42" s="19" t="s">
        <v>22</v>
      </c>
      <c r="C42" s="24">
        <f t="shared" si="1"/>
        <v>40</v>
      </c>
      <c r="D42" s="19">
        <f t="shared" si="0"/>
        <v>-0.93181843042989709</v>
      </c>
      <c r="E42" s="22">
        <v>105</v>
      </c>
      <c r="F42" s="22">
        <v>99</v>
      </c>
      <c r="G42" s="22">
        <v>105</v>
      </c>
      <c r="H42" s="22">
        <v>99</v>
      </c>
      <c r="I42" s="22">
        <v>126</v>
      </c>
      <c r="J42" s="22">
        <v>98</v>
      </c>
      <c r="K42" s="22">
        <v>125</v>
      </c>
      <c r="L42" s="22">
        <v>113</v>
      </c>
      <c r="M42" s="22">
        <v>110</v>
      </c>
      <c r="N42" s="22">
        <v>254</v>
      </c>
    </row>
    <row r="43" spans="1:14" x14ac:dyDescent="0.25">
      <c r="A43" s="19">
        <v>1976</v>
      </c>
      <c r="B43" s="19" t="s">
        <v>22</v>
      </c>
      <c r="C43" s="24">
        <f t="shared" si="1"/>
        <v>41</v>
      </c>
      <c r="D43" s="19">
        <f t="shared" si="0"/>
        <v>-1.3654723922838108</v>
      </c>
      <c r="E43" s="22">
        <v>94</v>
      </c>
      <c r="F43" s="22">
        <v>92</v>
      </c>
      <c r="G43" s="22">
        <v>112</v>
      </c>
      <c r="H43" s="22">
        <v>123</v>
      </c>
      <c r="I43" s="22">
        <v>118</v>
      </c>
      <c r="J43" s="22">
        <v>102</v>
      </c>
      <c r="K43" s="22">
        <v>106</v>
      </c>
      <c r="L43" s="22">
        <v>135</v>
      </c>
      <c r="M43" s="22">
        <v>141</v>
      </c>
      <c r="N43" s="22">
        <v>148</v>
      </c>
    </row>
    <row r="44" spans="1:14" x14ac:dyDescent="0.25">
      <c r="A44" s="19">
        <v>1976</v>
      </c>
      <c r="B44" s="19" t="s">
        <v>22</v>
      </c>
      <c r="C44" s="24">
        <f t="shared" si="1"/>
        <v>42</v>
      </c>
      <c r="D44" s="19">
        <f t="shared" si="0"/>
        <v>-0.97124151787116197</v>
      </c>
      <c r="E44" s="22">
        <v>104</v>
      </c>
      <c r="F44" s="22">
        <v>89</v>
      </c>
      <c r="G44" s="22">
        <v>74</v>
      </c>
      <c r="H44" s="22">
        <v>109</v>
      </c>
      <c r="I44" s="22">
        <v>106</v>
      </c>
      <c r="J44" s="22">
        <v>98</v>
      </c>
      <c r="K44" s="22">
        <v>161</v>
      </c>
      <c r="L44" s="22">
        <v>138</v>
      </c>
      <c r="M44" s="22">
        <v>113</v>
      </c>
      <c r="N44" s="22">
        <v>114</v>
      </c>
    </row>
    <row r="45" spans="1:14" x14ac:dyDescent="0.25">
      <c r="A45" s="19">
        <v>1976</v>
      </c>
      <c r="B45" s="19" t="s">
        <v>22</v>
      </c>
      <c r="C45" s="24">
        <f t="shared" si="1"/>
        <v>43</v>
      </c>
      <c r="D45" s="19">
        <f t="shared" si="0"/>
        <v>-0.34047211881092365</v>
      </c>
      <c r="E45" s="22">
        <v>120</v>
      </c>
      <c r="F45" s="22">
        <v>103</v>
      </c>
      <c r="G45" s="22">
        <v>106</v>
      </c>
      <c r="H45" s="22">
        <v>78</v>
      </c>
      <c r="I45" s="22">
        <v>103</v>
      </c>
      <c r="J45" s="22">
        <v>135</v>
      </c>
      <c r="K45" s="22">
        <v>109</v>
      </c>
      <c r="L45" s="22">
        <v>123</v>
      </c>
      <c r="M45" s="22">
        <v>152</v>
      </c>
      <c r="N45" s="22">
        <v>151</v>
      </c>
    </row>
    <row r="46" spans="1:14" x14ac:dyDescent="0.25">
      <c r="A46" s="19">
        <v>1976</v>
      </c>
      <c r="B46" s="19" t="s">
        <v>22</v>
      </c>
      <c r="C46" s="24">
        <f t="shared" si="1"/>
        <v>44</v>
      </c>
      <c r="D46" s="19">
        <f t="shared" si="0"/>
        <v>-0.49816446857598323</v>
      </c>
      <c r="E46" s="22">
        <v>116</v>
      </c>
      <c r="F46" s="22">
        <v>107</v>
      </c>
      <c r="G46" s="22">
        <v>99</v>
      </c>
      <c r="H46" s="22">
        <v>139</v>
      </c>
      <c r="I46" s="22">
        <v>113</v>
      </c>
      <c r="J46" s="22">
        <v>105</v>
      </c>
      <c r="K46" s="22">
        <v>117</v>
      </c>
      <c r="L46" s="22">
        <v>125</v>
      </c>
      <c r="M46" s="22">
        <v>126</v>
      </c>
      <c r="N46" s="22">
        <v>420</v>
      </c>
    </row>
    <row r="47" spans="1:14" x14ac:dyDescent="0.25">
      <c r="A47" s="19">
        <v>1976</v>
      </c>
      <c r="B47" s="19" t="s">
        <v>22</v>
      </c>
      <c r="C47" s="24">
        <f t="shared" si="1"/>
        <v>45</v>
      </c>
      <c r="D47" s="19">
        <f t="shared" si="0"/>
        <v>-1.8385494415789896</v>
      </c>
      <c r="E47" s="22">
        <v>82</v>
      </c>
      <c r="F47" s="22">
        <v>115</v>
      </c>
      <c r="G47" s="22">
        <v>82</v>
      </c>
      <c r="H47" s="22">
        <v>105</v>
      </c>
      <c r="I47" s="22">
        <v>152</v>
      </c>
      <c r="J47" s="22">
        <v>110</v>
      </c>
      <c r="K47" s="22">
        <v>126</v>
      </c>
      <c r="L47" s="22">
        <v>124</v>
      </c>
      <c r="M47" s="22">
        <v>132</v>
      </c>
      <c r="N47" s="22">
        <v>109</v>
      </c>
    </row>
    <row r="48" spans="1:14" x14ac:dyDescent="0.25">
      <c r="A48" s="19">
        <v>1976</v>
      </c>
      <c r="B48" s="19" t="s">
        <v>22</v>
      </c>
      <c r="C48" s="24">
        <f t="shared" si="1"/>
        <v>46</v>
      </c>
      <c r="D48" s="19">
        <f t="shared" si="0"/>
        <v>-0.22220285648712898</v>
      </c>
      <c r="E48" s="22">
        <v>123</v>
      </c>
      <c r="F48" s="22">
        <v>115</v>
      </c>
      <c r="G48" s="22">
        <v>101</v>
      </c>
      <c r="H48" s="22">
        <v>108</v>
      </c>
      <c r="I48" s="22">
        <v>137</v>
      </c>
      <c r="J48" s="22">
        <v>117</v>
      </c>
      <c r="K48" s="22">
        <v>122</v>
      </c>
      <c r="L48" s="22">
        <v>100</v>
      </c>
      <c r="M48" s="22">
        <v>110</v>
      </c>
      <c r="N48" s="22">
        <v>100</v>
      </c>
    </row>
    <row r="49" spans="1:14" x14ac:dyDescent="0.25">
      <c r="A49" s="19">
        <v>1976</v>
      </c>
      <c r="B49" s="19" t="s">
        <v>22</v>
      </c>
      <c r="C49" s="24">
        <f t="shared" si="1"/>
        <v>47</v>
      </c>
      <c r="D49" s="19">
        <f t="shared" si="0"/>
        <v>-0.22220285648712898</v>
      </c>
      <c r="E49" s="22">
        <v>123</v>
      </c>
      <c r="F49" s="22">
        <v>113</v>
      </c>
      <c r="G49" s="22">
        <v>95</v>
      </c>
      <c r="H49" s="22">
        <v>94</v>
      </c>
      <c r="I49" s="22">
        <v>128</v>
      </c>
      <c r="J49" s="22">
        <v>116</v>
      </c>
      <c r="K49" s="22">
        <v>155</v>
      </c>
      <c r="L49" s="22">
        <v>128</v>
      </c>
      <c r="M49" s="22">
        <v>171</v>
      </c>
      <c r="N49" s="22">
        <v>460</v>
      </c>
    </row>
    <row r="50" spans="1:14" x14ac:dyDescent="0.25">
      <c r="A50" s="19">
        <v>1976</v>
      </c>
      <c r="B50" s="19" t="s">
        <v>22</v>
      </c>
      <c r="C50" s="24">
        <v>48</v>
      </c>
      <c r="D50" s="19">
        <f t="shared" si="0"/>
        <v>-0.61643373089977793</v>
      </c>
      <c r="E50" s="22">
        <v>113</v>
      </c>
      <c r="F50" s="22">
        <v>131</v>
      </c>
      <c r="G50" s="22">
        <v>107</v>
      </c>
      <c r="H50" s="22">
        <v>135</v>
      </c>
      <c r="I50" s="22">
        <v>118</v>
      </c>
      <c r="J50" s="22">
        <v>131</v>
      </c>
      <c r="K50" s="22">
        <v>124</v>
      </c>
      <c r="L50" s="22">
        <v>109</v>
      </c>
      <c r="M50" s="22">
        <v>159</v>
      </c>
      <c r="N50" s="22">
        <v>164</v>
      </c>
    </row>
    <row r="51" spans="1:14" x14ac:dyDescent="0.25">
      <c r="A51" s="19">
        <v>1976</v>
      </c>
      <c r="B51" s="19" t="s">
        <v>22</v>
      </c>
      <c r="C51" s="24">
        <v>49</v>
      </c>
      <c r="D51" s="19">
        <f t="shared" si="0"/>
        <v>-0.93181843042989709</v>
      </c>
      <c r="E51" s="22">
        <v>105</v>
      </c>
      <c r="F51" s="22">
        <v>89</v>
      </c>
      <c r="G51" s="22">
        <v>108</v>
      </c>
      <c r="H51" s="22">
        <v>124</v>
      </c>
      <c r="I51" s="22">
        <v>89</v>
      </c>
      <c r="J51" s="22">
        <v>101</v>
      </c>
      <c r="K51" s="22">
        <v>119</v>
      </c>
      <c r="L51" s="22">
        <v>99</v>
      </c>
      <c r="M51" s="22">
        <v>130</v>
      </c>
      <c r="N51" s="22">
        <v>106</v>
      </c>
    </row>
    <row r="52" spans="1:14" x14ac:dyDescent="0.25">
      <c r="A52" s="19">
        <v>1976</v>
      </c>
      <c r="B52" s="19" t="s">
        <v>22</v>
      </c>
      <c r="C52" s="24">
        <v>50</v>
      </c>
      <c r="D52" s="19">
        <f t="shared" si="0"/>
        <v>-1.4048954797250757</v>
      </c>
      <c r="E52" s="22">
        <v>93</v>
      </c>
      <c r="F52" s="22">
        <v>104</v>
      </c>
      <c r="G52" s="22">
        <v>112</v>
      </c>
      <c r="H52" s="22">
        <v>108</v>
      </c>
      <c r="I52" s="22">
        <v>99</v>
      </c>
      <c r="J52" s="22">
        <v>150</v>
      </c>
      <c r="K52" s="22">
        <v>129</v>
      </c>
      <c r="L52" s="22">
        <v>168</v>
      </c>
      <c r="M52" s="22">
        <v>160</v>
      </c>
      <c r="N52" s="22">
        <v>130</v>
      </c>
    </row>
    <row r="53" spans="1:14" x14ac:dyDescent="0.25">
      <c r="A53" s="19">
        <v>1976</v>
      </c>
      <c r="B53" s="19" t="s">
        <v>22</v>
      </c>
      <c r="C53" s="24">
        <v>51</v>
      </c>
      <c r="D53" s="19">
        <f t="shared" si="0"/>
        <v>-0.61643373089977793</v>
      </c>
      <c r="E53" s="22">
        <v>113</v>
      </c>
      <c r="F53" s="22">
        <v>106</v>
      </c>
      <c r="G53" s="22">
        <v>108</v>
      </c>
      <c r="H53" s="22">
        <v>137</v>
      </c>
      <c r="I53" s="22">
        <v>116</v>
      </c>
      <c r="J53" s="22">
        <v>100</v>
      </c>
      <c r="K53" s="22">
        <v>129</v>
      </c>
      <c r="L53" s="22">
        <v>114</v>
      </c>
      <c r="M53" s="22">
        <v>169</v>
      </c>
      <c r="N53" s="22">
        <v>155</v>
      </c>
    </row>
    <row r="54" spans="1:14" x14ac:dyDescent="0.25">
      <c r="A54" s="19">
        <v>1976</v>
      </c>
      <c r="B54" s="19" t="s">
        <v>22</v>
      </c>
      <c r="C54" s="24">
        <v>52</v>
      </c>
      <c r="D54" s="19">
        <f t="shared" si="0"/>
        <v>-0.30104903136965877</v>
      </c>
      <c r="E54" s="22">
        <v>121</v>
      </c>
      <c r="F54" s="22">
        <v>123</v>
      </c>
      <c r="G54" s="22">
        <v>122</v>
      </c>
      <c r="H54" s="22">
        <v>111</v>
      </c>
      <c r="I54" s="22">
        <v>123</v>
      </c>
      <c r="J54" s="22">
        <v>143</v>
      </c>
      <c r="K54" s="22">
        <v>116</v>
      </c>
      <c r="L54" s="22">
        <v>120</v>
      </c>
      <c r="M54" s="22">
        <v>197</v>
      </c>
      <c r="N54" s="22">
        <v>184</v>
      </c>
    </row>
    <row r="55" spans="1:14" x14ac:dyDescent="0.25">
      <c r="A55" s="19">
        <v>1976</v>
      </c>
      <c r="B55" s="19" t="s">
        <v>22</v>
      </c>
      <c r="C55" s="24">
        <v>53</v>
      </c>
      <c r="D55" s="19">
        <f t="shared" si="0"/>
        <v>-0.41931829369345347</v>
      </c>
      <c r="E55" s="22">
        <v>118</v>
      </c>
      <c r="F55" s="22">
        <v>107</v>
      </c>
      <c r="G55" s="22">
        <v>95</v>
      </c>
      <c r="H55" s="22">
        <v>111</v>
      </c>
      <c r="I55" s="22">
        <v>90</v>
      </c>
      <c r="J55" s="22">
        <v>134</v>
      </c>
      <c r="K55" s="22">
        <v>149</v>
      </c>
      <c r="L55" s="22">
        <v>155</v>
      </c>
      <c r="M55" s="22">
        <v>131</v>
      </c>
      <c r="N55" s="22">
        <v>126</v>
      </c>
    </row>
    <row r="56" spans="1:14" x14ac:dyDescent="0.25">
      <c r="A56" s="19">
        <v>1976</v>
      </c>
      <c r="B56" s="19" t="s">
        <v>22</v>
      </c>
      <c r="C56" s="24">
        <v>54</v>
      </c>
      <c r="D56" s="19">
        <f t="shared" si="0"/>
        <v>1.5518360783697911</v>
      </c>
      <c r="E56" s="22">
        <v>168</v>
      </c>
      <c r="F56" s="22">
        <v>111</v>
      </c>
      <c r="G56" s="22">
        <v>82</v>
      </c>
      <c r="H56" s="22">
        <v>106</v>
      </c>
      <c r="I56" s="22">
        <v>142</v>
      </c>
      <c r="J56" s="22">
        <v>106</v>
      </c>
      <c r="K56" s="22">
        <v>122</v>
      </c>
      <c r="L56" s="22">
        <v>99</v>
      </c>
      <c r="M56" s="22">
        <v>120</v>
      </c>
      <c r="N56" s="22">
        <v>166</v>
      </c>
    </row>
    <row r="57" spans="1:14" x14ac:dyDescent="0.25">
      <c r="A57" s="19">
        <v>1976</v>
      </c>
      <c r="B57" s="19" t="s">
        <v>22</v>
      </c>
      <c r="C57" s="24">
        <f t="shared" ref="C57:C62" si="2">C56+1</f>
        <v>55</v>
      </c>
      <c r="D57" s="19">
        <f t="shared" si="0"/>
        <v>1.4335668160460368E-2</v>
      </c>
      <c r="E57" s="22">
        <v>129</v>
      </c>
      <c r="F57" s="22">
        <v>131</v>
      </c>
      <c r="G57" s="22">
        <v>99</v>
      </c>
      <c r="H57" s="22">
        <v>93</v>
      </c>
      <c r="I57" s="22">
        <v>121</v>
      </c>
      <c r="J57" s="22">
        <v>130</v>
      </c>
      <c r="K57" s="22">
        <v>111</v>
      </c>
      <c r="L57" s="22">
        <v>120</v>
      </c>
      <c r="M57" s="22">
        <v>133</v>
      </c>
      <c r="N57" s="22">
        <v>198</v>
      </c>
    </row>
    <row r="58" spans="1:14" x14ac:dyDescent="0.25">
      <c r="A58" s="19">
        <v>1976</v>
      </c>
      <c r="B58" s="19" t="s">
        <v>22</v>
      </c>
      <c r="C58" s="24">
        <f t="shared" si="2"/>
        <v>56</v>
      </c>
      <c r="D58" s="19">
        <f t="shared" si="0"/>
        <v>0.76337432954449336</v>
      </c>
      <c r="E58" s="22">
        <v>148</v>
      </c>
      <c r="F58" s="22">
        <v>130</v>
      </c>
      <c r="G58" s="22">
        <v>105</v>
      </c>
      <c r="H58" s="22">
        <v>142</v>
      </c>
      <c r="I58" s="22">
        <v>126</v>
      </c>
      <c r="J58" s="22">
        <v>143</v>
      </c>
      <c r="K58" s="22">
        <v>119</v>
      </c>
      <c r="L58" s="22">
        <v>152</v>
      </c>
      <c r="M58" s="22">
        <v>113</v>
      </c>
      <c r="N58" s="22">
        <v>122</v>
      </c>
    </row>
    <row r="59" spans="1:14" x14ac:dyDescent="0.25">
      <c r="A59" s="19">
        <v>1976</v>
      </c>
      <c r="B59" s="19" t="s">
        <v>22</v>
      </c>
      <c r="C59" s="24">
        <f t="shared" si="2"/>
        <v>57</v>
      </c>
      <c r="D59" s="19">
        <f t="shared" si="0"/>
        <v>-0.69527990578230769</v>
      </c>
      <c r="E59" s="22">
        <v>111</v>
      </c>
      <c r="F59" s="22">
        <v>124</v>
      </c>
      <c r="G59" s="22">
        <v>133</v>
      </c>
      <c r="H59" s="22">
        <v>142</v>
      </c>
      <c r="I59" s="22">
        <v>124</v>
      </c>
      <c r="J59" s="22">
        <v>104</v>
      </c>
      <c r="K59" s="22">
        <v>129</v>
      </c>
      <c r="L59" s="22">
        <v>85</v>
      </c>
      <c r="M59" s="22">
        <v>120</v>
      </c>
      <c r="N59" s="22">
        <v>211</v>
      </c>
    </row>
    <row r="60" spans="1:14" x14ac:dyDescent="0.25">
      <c r="A60" s="19">
        <v>1976</v>
      </c>
      <c r="B60" s="19" t="s">
        <v>22</v>
      </c>
      <c r="C60" s="24">
        <f t="shared" si="2"/>
        <v>58</v>
      </c>
      <c r="D60" s="19">
        <f t="shared" si="0"/>
        <v>-0.57701064345851305</v>
      </c>
      <c r="E60" s="22">
        <v>114</v>
      </c>
      <c r="F60" s="22">
        <v>132</v>
      </c>
      <c r="G60" s="22">
        <v>118</v>
      </c>
      <c r="H60" s="22">
        <v>93</v>
      </c>
      <c r="I60" s="22">
        <v>98</v>
      </c>
      <c r="J60" s="22">
        <v>115</v>
      </c>
      <c r="K60" s="22">
        <v>133</v>
      </c>
      <c r="L60" s="22">
        <v>149</v>
      </c>
      <c r="M60" s="22">
        <v>184</v>
      </c>
      <c r="N60" s="22">
        <v>306</v>
      </c>
    </row>
    <row r="61" spans="1:14" x14ac:dyDescent="0.25">
      <c r="A61" s="19">
        <v>1976</v>
      </c>
      <c r="B61" s="19" t="s">
        <v>22</v>
      </c>
      <c r="C61" s="24">
        <f t="shared" si="2"/>
        <v>59</v>
      </c>
      <c r="D61" s="19">
        <f t="shared" si="0"/>
        <v>-0.41931829369345347</v>
      </c>
      <c r="E61" s="22">
        <v>118</v>
      </c>
      <c r="F61" s="22">
        <v>132</v>
      </c>
      <c r="G61" s="22">
        <v>135</v>
      </c>
      <c r="H61" s="22">
        <v>139</v>
      </c>
      <c r="I61" s="22">
        <v>125</v>
      </c>
      <c r="J61" s="22">
        <v>112</v>
      </c>
      <c r="K61" s="22">
        <v>109</v>
      </c>
      <c r="L61" s="22">
        <v>158</v>
      </c>
      <c r="M61" s="22">
        <v>135</v>
      </c>
      <c r="N61" s="22">
        <v>277</v>
      </c>
    </row>
    <row r="62" spans="1:14" x14ac:dyDescent="0.25">
      <c r="A62" s="19">
        <v>1976</v>
      </c>
      <c r="B62" s="19" t="s">
        <v>22</v>
      </c>
      <c r="C62" s="24">
        <f t="shared" si="2"/>
        <v>60</v>
      </c>
      <c r="D62" s="19">
        <f t="shared" si="0"/>
        <v>-0.93181843042989709</v>
      </c>
      <c r="E62" s="22">
        <v>105</v>
      </c>
      <c r="F62" s="22">
        <v>112</v>
      </c>
      <c r="G62" s="22">
        <v>100</v>
      </c>
      <c r="H62" s="22">
        <v>108</v>
      </c>
      <c r="I62" s="22">
        <v>111</v>
      </c>
      <c r="J62" s="22">
        <v>112</v>
      </c>
      <c r="K62" s="22">
        <v>138</v>
      </c>
      <c r="L62" s="22">
        <v>110</v>
      </c>
      <c r="M62" s="22">
        <v>131</v>
      </c>
      <c r="N62" s="22">
        <v>200</v>
      </c>
    </row>
    <row r="63" spans="1:14" x14ac:dyDescent="0.25">
      <c r="A63" s="19">
        <v>1976</v>
      </c>
      <c r="B63" s="19" t="s">
        <v>23</v>
      </c>
      <c r="C63" s="19">
        <v>1</v>
      </c>
      <c r="D63" s="19">
        <f t="shared" si="0"/>
        <v>1.3547206411634667</v>
      </c>
      <c r="E63" s="22">
        <v>163</v>
      </c>
      <c r="F63" s="22">
        <v>156</v>
      </c>
      <c r="G63" s="22">
        <v>95</v>
      </c>
      <c r="H63" s="22">
        <v>99</v>
      </c>
      <c r="I63" s="22">
        <v>129</v>
      </c>
      <c r="J63" s="22">
        <f>(I63+K63)</f>
        <v>243</v>
      </c>
      <c r="K63" s="22">
        <v>114</v>
      </c>
      <c r="L63" s="22">
        <f>(K63+M63)</f>
        <v>224</v>
      </c>
      <c r="M63" s="22">
        <v>110</v>
      </c>
      <c r="N63" s="22">
        <v>103</v>
      </c>
    </row>
    <row r="64" spans="1:14" x14ac:dyDescent="0.25">
      <c r="A64" s="19">
        <v>1976</v>
      </c>
      <c r="B64" s="19" t="s">
        <v>23</v>
      </c>
      <c r="C64" s="24">
        <f t="shared" ref="C64:C103" si="3">C63+1</f>
        <v>2</v>
      </c>
      <c r="D64" s="19">
        <f t="shared" si="0"/>
        <v>3.2864519257854465</v>
      </c>
      <c r="E64" s="22">
        <v>212</v>
      </c>
      <c r="F64" s="22">
        <v>150</v>
      </c>
      <c r="G64" s="22">
        <v>115</v>
      </c>
      <c r="H64" s="22">
        <v>106</v>
      </c>
      <c r="I64" s="22">
        <v>115</v>
      </c>
      <c r="J64" s="22">
        <f>(I64+K64)</f>
        <v>249</v>
      </c>
      <c r="K64" s="22">
        <v>134</v>
      </c>
      <c r="L64" s="22">
        <f>(K64+M64)</f>
        <v>281</v>
      </c>
      <c r="M64" s="22">
        <v>147</v>
      </c>
      <c r="N64" s="22">
        <v>148.91156462585033</v>
      </c>
    </row>
    <row r="65" spans="1:14" x14ac:dyDescent="0.25">
      <c r="A65" s="19">
        <v>1976</v>
      </c>
      <c r="B65" s="19" t="s">
        <v>23</v>
      </c>
      <c r="C65" s="24">
        <f t="shared" si="3"/>
        <v>3</v>
      </c>
      <c r="D65" s="19">
        <f t="shared" si="0"/>
        <v>2.2614516523125592</v>
      </c>
      <c r="E65" s="22">
        <v>186</v>
      </c>
      <c r="F65" s="22">
        <v>147</v>
      </c>
      <c r="G65" s="22">
        <v>105</v>
      </c>
      <c r="H65" s="22">
        <v>91</v>
      </c>
      <c r="I65" s="22">
        <v>113</v>
      </c>
      <c r="J65" s="22">
        <f>(I65+K65)</f>
        <v>252</v>
      </c>
      <c r="K65" s="22">
        <v>139</v>
      </c>
      <c r="L65" s="22">
        <f>(K65+M65)</f>
        <v>246</v>
      </c>
      <c r="M65" s="22">
        <v>107</v>
      </c>
      <c r="N65" s="22">
        <v>110</v>
      </c>
    </row>
    <row r="66" spans="1:14" x14ac:dyDescent="0.25">
      <c r="A66" s="19">
        <v>1976</v>
      </c>
      <c r="B66" s="19" t="s">
        <v>23</v>
      </c>
      <c r="C66" s="24">
        <f t="shared" si="3"/>
        <v>4</v>
      </c>
      <c r="D66" s="19">
        <f t="shared" si="0"/>
        <v>0.48741271745563908</v>
      </c>
      <c r="E66" s="22">
        <v>141</v>
      </c>
      <c r="F66" s="22">
        <v>138</v>
      </c>
      <c r="G66" s="22">
        <v>113</v>
      </c>
      <c r="H66" s="22">
        <v>163</v>
      </c>
      <c r="I66" s="22">
        <v>101</v>
      </c>
      <c r="J66" s="22">
        <v>245</v>
      </c>
      <c r="K66" s="22">
        <v>144</v>
      </c>
      <c r="L66" s="22">
        <f t="shared" ref="L66:L112" si="4">(K66+M66)</f>
        <v>240</v>
      </c>
      <c r="M66" s="22">
        <v>96</v>
      </c>
      <c r="N66" s="22">
        <v>96.4</v>
      </c>
    </row>
    <row r="67" spans="1:14" x14ac:dyDescent="0.25">
      <c r="A67" s="19">
        <v>1976</v>
      </c>
      <c r="B67" s="19" t="s">
        <v>23</v>
      </c>
      <c r="C67" s="24">
        <f t="shared" si="3"/>
        <v>5</v>
      </c>
      <c r="D67" s="19">
        <f t="shared" si="0"/>
        <v>1.4335668160460368E-2</v>
      </c>
      <c r="E67" s="22">
        <v>129</v>
      </c>
      <c r="F67" s="22">
        <v>220</v>
      </c>
      <c r="G67" s="22">
        <v>109</v>
      </c>
      <c r="H67" s="22">
        <v>147</v>
      </c>
      <c r="I67" s="22">
        <v>142</v>
      </c>
      <c r="J67" s="22">
        <v>250</v>
      </c>
      <c r="K67" s="22">
        <v>108</v>
      </c>
      <c r="L67" s="22">
        <f t="shared" si="4"/>
        <v>247</v>
      </c>
      <c r="M67" s="22">
        <v>139</v>
      </c>
      <c r="N67" s="22">
        <v>138</v>
      </c>
    </row>
    <row r="68" spans="1:14" x14ac:dyDescent="0.25">
      <c r="A68" s="19">
        <v>1976</v>
      </c>
      <c r="B68" s="19" t="s">
        <v>23</v>
      </c>
      <c r="C68" s="24">
        <f t="shared" si="3"/>
        <v>6</v>
      </c>
      <c r="D68" s="19">
        <f t="shared" ref="D68:D112" si="5">(E68-E$114)/E$115</f>
        <v>0.99991285419208265</v>
      </c>
      <c r="E68" s="22">
        <v>154</v>
      </c>
      <c r="F68" s="22">
        <v>168</v>
      </c>
      <c r="G68" s="22">
        <v>124</v>
      </c>
      <c r="H68" s="22">
        <v>133</v>
      </c>
      <c r="I68" s="22">
        <v>123</v>
      </c>
      <c r="J68" s="22">
        <v>233</v>
      </c>
      <c r="K68" s="22">
        <v>110</v>
      </c>
      <c r="L68" s="22">
        <f t="shared" si="4"/>
        <v>231</v>
      </c>
      <c r="M68" s="22">
        <v>121</v>
      </c>
      <c r="N68" s="22">
        <v>108</v>
      </c>
    </row>
    <row r="69" spans="1:14" x14ac:dyDescent="0.25">
      <c r="A69" s="19">
        <v>1976</v>
      </c>
      <c r="B69" s="19" t="s">
        <v>23</v>
      </c>
      <c r="C69" s="24">
        <f t="shared" si="3"/>
        <v>7</v>
      </c>
      <c r="D69" s="19">
        <f t="shared" si="5"/>
        <v>-6.4510506722069413E-2</v>
      </c>
      <c r="E69" s="22">
        <v>127</v>
      </c>
      <c r="F69" s="22">
        <v>157</v>
      </c>
      <c r="G69" s="22">
        <v>109</v>
      </c>
      <c r="H69" s="22">
        <v>131</v>
      </c>
      <c r="I69" s="22">
        <v>104</v>
      </c>
      <c r="J69" s="22">
        <v>246</v>
      </c>
      <c r="K69" s="22">
        <v>142</v>
      </c>
      <c r="L69" s="22">
        <f t="shared" si="4"/>
        <v>254</v>
      </c>
      <c r="M69" s="22">
        <v>112</v>
      </c>
      <c r="N69" s="22">
        <v>137</v>
      </c>
    </row>
    <row r="70" spans="1:14" x14ac:dyDescent="0.25">
      <c r="A70" s="19">
        <v>1976</v>
      </c>
      <c r="B70" s="19" t="s">
        <v>23</v>
      </c>
      <c r="C70" s="24">
        <f t="shared" si="3"/>
        <v>8</v>
      </c>
      <c r="D70" s="19">
        <f t="shared" si="5"/>
        <v>0.96048976675081776</v>
      </c>
      <c r="E70" s="22">
        <v>153</v>
      </c>
      <c r="F70" s="22">
        <v>183</v>
      </c>
      <c r="G70" s="22">
        <v>105</v>
      </c>
      <c r="H70" s="22">
        <v>117</v>
      </c>
      <c r="I70" s="22">
        <v>103</v>
      </c>
      <c r="J70" s="22">
        <v>230</v>
      </c>
      <c r="K70" s="22">
        <v>127</v>
      </c>
      <c r="L70" s="22">
        <f t="shared" si="4"/>
        <v>233</v>
      </c>
      <c r="M70" s="22">
        <v>106</v>
      </c>
      <c r="N70" s="22">
        <v>142</v>
      </c>
    </row>
    <row r="71" spans="1:14" x14ac:dyDescent="0.25">
      <c r="A71" s="19">
        <v>1976</v>
      </c>
      <c r="B71" s="19" t="s">
        <v>23</v>
      </c>
      <c r="C71" s="24">
        <f t="shared" si="3"/>
        <v>9</v>
      </c>
      <c r="D71" s="19">
        <f t="shared" si="5"/>
        <v>0.17202801792551994</v>
      </c>
      <c r="E71" s="22">
        <v>133</v>
      </c>
      <c r="F71" s="22">
        <v>164</v>
      </c>
      <c r="G71" s="22">
        <v>109</v>
      </c>
      <c r="H71" s="23">
        <v>109</v>
      </c>
      <c r="I71" s="22">
        <v>91</v>
      </c>
      <c r="J71" s="22">
        <v>219</v>
      </c>
      <c r="K71" s="22">
        <v>128</v>
      </c>
      <c r="L71" s="22">
        <f t="shared" si="4"/>
        <v>230</v>
      </c>
      <c r="M71" s="22">
        <v>102</v>
      </c>
      <c r="N71" s="22">
        <v>95</v>
      </c>
    </row>
    <row r="72" spans="1:14" x14ac:dyDescent="0.25">
      <c r="A72" s="19">
        <v>1976</v>
      </c>
      <c r="B72" s="19" t="s">
        <v>23</v>
      </c>
      <c r="C72" s="24">
        <f t="shared" si="3"/>
        <v>10</v>
      </c>
      <c r="D72" s="19">
        <f t="shared" si="5"/>
        <v>0.99991285419208265</v>
      </c>
      <c r="E72" s="22">
        <v>154</v>
      </c>
      <c r="F72" s="22">
        <v>129</v>
      </c>
      <c r="G72" s="22">
        <v>115</v>
      </c>
      <c r="H72" s="22">
        <v>114</v>
      </c>
      <c r="I72" s="22">
        <v>122</v>
      </c>
      <c r="J72" s="22">
        <v>268</v>
      </c>
      <c r="K72" s="22">
        <v>146</v>
      </c>
      <c r="L72" s="22">
        <f t="shared" si="4"/>
        <v>295</v>
      </c>
      <c r="M72" s="22">
        <v>149</v>
      </c>
      <c r="N72" s="22">
        <v>143</v>
      </c>
    </row>
    <row r="73" spans="1:14" x14ac:dyDescent="0.25">
      <c r="A73" s="19">
        <v>1976</v>
      </c>
      <c r="B73" s="19" t="s">
        <v>23</v>
      </c>
      <c r="C73" s="24">
        <f t="shared" si="3"/>
        <v>11</v>
      </c>
      <c r="D73" s="19">
        <f t="shared" si="5"/>
        <v>1.1970282913984072</v>
      </c>
      <c r="E73" s="22">
        <v>159</v>
      </c>
      <c r="F73" s="22">
        <v>143</v>
      </c>
      <c r="G73" s="22">
        <v>110</v>
      </c>
      <c r="H73" s="22">
        <v>120</v>
      </c>
      <c r="I73" s="22">
        <v>125</v>
      </c>
      <c r="J73" s="22">
        <v>256</v>
      </c>
      <c r="K73" s="22">
        <v>131</v>
      </c>
      <c r="L73" s="22">
        <f t="shared" si="4"/>
        <v>253</v>
      </c>
      <c r="M73" s="22">
        <v>122</v>
      </c>
      <c r="N73" s="22">
        <v>128</v>
      </c>
    </row>
    <row r="74" spans="1:14" x14ac:dyDescent="0.25">
      <c r="A74" s="19">
        <v>1976</v>
      </c>
      <c r="B74" s="19" t="s">
        <v>23</v>
      </c>
      <c r="C74" s="24">
        <f t="shared" si="3"/>
        <v>12</v>
      </c>
      <c r="D74" s="19">
        <f t="shared" si="5"/>
        <v>1.2758744662809369</v>
      </c>
      <c r="E74" s="22">
        <v>161</v>
      </c>
      <c r="F74" s="22">
        <v>128</v>
      </c>
      <c r="G74" s="22">
        <v>118</v>
      </c>
      <c r="H74" s="22">
        <v>126</v>
      </c>
      <c r="I74" s="22">
        <v>117</v>
      </c>
      <c r="J74" s="22">
        <v>235</v>
      </c>
      <c r="K74" s="22">
        <v>118</v>
      </c>
      <c r="L74" s="22">
        <f t="shared" si="4"/>
        <v>263</v>
      </c>
      <c r="M74" s="22">
        <v>145</v>
      </c>
      <c r="N74" s="22">
        <v>171</v>
      </c>
    </row>
    <row r="75" spans="1:14" x14ac:dyDescent="0.25">
      <c r="A75" s="19">
        <v>1976</v>
      </c>
      <c r="B75" s="19" t="s">
        <v>23</v>
      </c>
      <c r="C75" s="24">
        <f t="shared" si="3"/>
        <v>13</v>
      </c>
      <c r="D75" s="19">
        <f t="shared" si="5"/>
        <v>1.3547206411634667</v>
      </c>
      <c r="E75" s="22">
        <v>163</v>
      </c>
      <c r="F75" s="22">
        <v>105</v>
      </c>
      <c r="G75" s="22">
        <v>81</v>
      </c>
      <c r="H75" s="22">
        <v>116</v>
      </c>
      <c r="I75" s="22">
        <v>128</v>
      </c>
      <c r="J75" s="22">
        <v>254</v>
      </c>
      <c r="K75" s="22">
        <v>126</v>
      </c>
      <c r="L75" s="22">
        <f t="shared" si="4"/>
        <v>252</v>
      </c>
      <c r="M75" s="22">
        <v>126</v>
      </c>
      <c r="N75" s="22">
        <v>98</v>
      </c>
    </row>
    <row r="76" spans="1:14" x14ac:dyDescent="0.25">
      <c r="A76" s="19">
        <v>1976</v>
      </c>
      <c r="B76" s="19" t="s">
        <v>23</v>
      </c>
      <c r="C76" s="24">
        <f t="shared" si="3"/>
        <v>14</v>
      </c>
      <c r="D76" s="19">
        <f t="shared" si="5"/>
        <v>0.4479896300143742</v>
      </c>
      <c r="E76" s="22">
        <v>140</v>
      </c>
      <c r="F76" s="22">
        <v>120</v>
      </c>
      <c r="G76" s="22">
        <v>111</v>
      </c>
      <c r="H76" s="22">
        <v>137</v>
      </c>
      <c r="I76" s="22">
        <v>118</v>
      </c>
      <c r="J76" s="22">
        <v>245</v>
      </c>
      <c r="K76" s="22">
        <v>127</v>
      </c>
      <c r="L76" s="22">
        <f t="shared" si="4"/>
        <v>282</v>
      </c>
      <c r="M76" s="22">
        <v>155</v>
      </c>
      <c r="N76" s="22">
        <v>164</v>
      </c>
    </row>
    <row r="77" spans="1:14" x14ac:dyDescent="0.25">
      <c r="A77" s="19">
        <v>1976</v>
      </c>
      <c r="B77" s="19" t="s">
        <v>23</v>
      </c>
      <c r="C77" s="24">
        <f t="shared" si="3"/>
        <v>15</v>
      </c>
      <c r="D77" s="19">
        <f t="shared" si="5"/>
        <v>0.76337432954449336</v>
      </c>
      <c r="E77" s="22">
        <v>148</v>
      </c>
      <c r="F77" s="22">
        <v>164</v>
      </c>
      <c r="G77" s="22">
        <v>111</v>
      </c>
      <c r="H77" s="22">
        <v>100</v>
      </c>
      <c r="I77" s="22">
        <v>115</v>
      </c>
      <c r="J77" s="22">
        <v>255</v>
      </c>
      <c r="K77" s="22">
        <v>140</v>
      </c>
      <c r="L77" s="22">
        <f t="shared" si="4"/>
        <v>299</v>
      </c>
      <c r="M77" s="22">
        <v>159</v>
      </c>
      <c r="N77" s="22">
        <v>124</v>
      </c>
    </row>
    <row r="78" spans="1:14" x14ac:dyDescent="0.25">
      <c r="A78" s="19">
        <v>1976</v>
      </c>
      <c r="B78" s="19" t="s">
        <v>23</v>
      </c>
      <c r="C78" s="24">
        <f t="shared" si="3"/>
        <v>16</v>
      </c>
      <c r="D78" s="19">
        <f t="shared" si="5"/>
        <v>1.5518360783697911</v>
      </c>
      <c r="E78" s="22">
        <v>168</v>
      </c>
      <c r="F78" s="22">
        <v>110</v>
      </c>
      <c r="G78" s="22">
        <v>113</v>
      </c>
      <c r="H78" s="22">
        <v>128</v>
      </c>
      <c r="I78" s="22">
        <v>117</v>
      </c>
      <c r="J78" s="22">
        <v>260</v>
      </c>
      <c r="K78" s="22">
        <v>143</v>
      </c>
      <c r="L78" s="22">
        <f t="shared" si="4"/>
        <v>293</v>
      </c>
      <c r="M78" s="22">
        <v>150</v>
      </c>
      <c r="N78" s="22">
        <v>177</v>
      </c>
    </row>
    <row r="79" spans="1:14" x14ac:dyDescent="0.25">
      <c r="A79" s="19">
        <v>1976</v>
      </c>
      <c r="B79" s="19" t="s">
        <v>23</v>
      </c>
      <c r="C79" s="24">
        <f t="shared" si="3"/>
        <v>17</v>
      </c>
      <c r="D79" s="19">
        <f t="shared" si="5"/>
        <v>1.4729899034872613</v>
      </c>
      <c r="E79" s="22">
        <v>166</v>
      </c>
      <c r="F79" s="22">
        <v>118</v>
      </c>
      <c r="G79" s="22">
        <v>138</v>
      </c>
      <c r="H79" s="22">
        <v>128</v>
      </c>
      <c r="I79" s="22">
        <v>143</v>
      </c>
      <c r="J79" s="22">
        <v>278</v>
      </c>
      <c r="K79" s="22">
        <v>135</v>
      </c>
      <c r="L79" s="22">
        <f t="shared" si="4"/>
        <v>248</v>
      </c>
      <c r="M79" s="22">
        <v>113</v>
      </c>
      <c r="N79" s="22">
        <v>162</v>
      </c>
    </row>
    <row r="80" spans="1:14" x14ac:dyDescent="0.25">
      <c r="A80" s="19">
        <v>1976</v>
      </c>
      <c r="B80" s="19" t="s">
        <v>23</v>
      </c>
      <c r="C80" s="24">
        <f t="shared" si="3"/>
        <v>18</v>
      </c>
      <c r="D80" s="19">
        <f t="shared" si="5"/>
        <v>0.40856654257310931</v>
      </c>
      <c r="E80" s="22">
        <v>139</v>
      </c>
      <c r="F80" s="22">
        <v>91</v>
      </c>
      <c r="G80" s="22">
        <v>91</v>
      </c>
      <c r="H80" s="22">
        <v>115</v>
      </c>
      <c r="I80" s="22">
        <v>149</v>
      </c>
      <c r="J80" s="22">
        <v>270</v>
      </c>
      <c r="K80" s="22">
        <v>121</v>
      </c>
      <c r="L80" s="22">
        <f t="shared" si="4"/>
        <v>251</v>
      </c>
      <c r="M80" s="22">
        <v>130</v>
      </c>
      <c r="N80" s="22">
        <v>152</v>
      </c>
    </row>
    <row r="81" spans="1:14" x14ac:dyDescent="0.25">
      <c r="A81" s="19">
        <v>1976</v>
      </c>
      <c r="B81" s="19" t="s">
        <v>23</v>
      </c>
      <c r="C81" s="24">
        <f t="shared" si="3"/>
        <v>19</v>
      </c>
      <c r="D81" s="19">
        <f t="shared" si="5"/>
        <v>0.13260493048425503</v>
      </c>
      <c r="E81" s="22">
        <v>132</v>
      </c>
      <c r="F81" s="22">
        <v>140</v>
      </c>
      <c r="G81" s="22">
        <v>75</v>
      </c>
      <c r="H81" s="22">
        <v>105</v>
      </c>
      <c r="I81" s="22">
        <v>121</v>
      </c>
      <c r="J81" s="22">
        <v>240</v>
      </c>
      <c r="K81" s="22">
        <v>119</v>
      </c>
      <c r="L81" s="22">
        <f t="shared" si="4"/>
        <v>224</v>
      </c>
      <c r="M81" s="22">
        <v>105</v>
      </c>
      <c r="N81" s="22">
        <v>107.13333333333334</v>
      </c>
    </row>
    <row r="82" spans="1:14" x14ac:dyDescent="0.25">
      <c r="A82" s="19">
        <v>1976</v>
      </c>
      <c r="B82" s="19" t="s">
        <v>23</v>
      </c>
      <c r="C82" s="24">
        <f t="shared" si="3"/>
        <v>20</v>
      </c>
      <c r="D82" s="19">
        <f t="shared" si="5"/>
        <v>0.68452815466196348</v>
      </c>
      <c r="E82" s="22">
        <v>146</v>
      </c>
      <c r="F82" s="22">
        <v>102</v>
      </c>
      <c r="G82" s="22">
        <v>97</v>
      </c>
      <c r="H82" s="22">
        <v>121</v>
      </c>
      <c r="I82" s="22">
        <v>133</v>
      </c>
      <c r="J82" s="22">
        <v>258</v>
      </c>
      <c r="K82" s="22">
        <v>125</v>
      </c>
      <c r="L82" s="22">
        <f t="shared" si="4"/>
        <v>276</v>
      </c>
      <c r="M82" s="22">
        <v>151</v>
      </c>
      <c r="N82" s="22">
        <v>152.82781456953643</v>
      </c>
    </row>
    <row r="83" spans="1:14" x14ac:dyDescent="0.25">
      <c r="A83" s="19">
        <v>1976</v>
      </c>
      <c r="B83" s="19" t="s">
        <v>23</v>
      </c>
      <c r="C83" s="24">
        <f t="shared" si="3"/>
        <v>21</v>
      </c>
      <c r="D83" s="19">
        <f t="shared" si="5"/>
        <v>0.68452815466196348</v>
      </c>
      <c r="E83" s="22">
        <v>146</v>
      </c>
      <c r="F83" s="22">
        <v>106</v>
      </c>
      <c r="G83" s="22">
        <v>96</v>
      </c>
      <c r="H83" s="22">
        <v>98</v>
      </c>
      <c r="I83" s="22">
        <v>109</v>
      </c>
      <c r="J83" s="22">
        <v>205</v>
      </c>
      <c r="K83" s="22">
        <v>96</v>
      </c>
      <c r="L83" s="22">
        <f t="shared" si="4"/>
        <v>214</v>
      </c>
      <c r="M83" s="22">
        <v>118</v>
      </c>
      <c r="N83" s="22">
        <v>119.8135593220339</v>
      </c>
    </row>
    <row r="84" spans="1:14" x14ac:dyDescent="0.25">
      <c r="A84" s="19">
        <v>1976</v>
      </c>
      <c r="B84" s="19" t="s">
        <v>23</v>
      </c>
      <c r="C84" s="24">
        <f t="shared" si="3"/>
        <v>22</v>
      </c>
      <c r="D84" s="19">
        <f t="shared" si="5"/>
        <v>0.99991285419208265</v>
      </c>
      <c r="E84" s="22">
        <v>154</v>
      </c>
      <c r="F84" s="22">
        <v>122</v>
      </c>
      <c r="G84" s="22">
        <v>118</v>
      </c>
      <c r="H84" s="22">
        <v>130</v>
      </c>
      <c r="I84" s="22">
        <v>128</v>
      </c>
      <c r="J84" s="22">
        <v>260</v>
      </c>
      <c r="K84" s="22">
        <v>132</v>
      </c>
      <c r="L84" s="22">
        <f t="shared" si="4"/>
        <v>277</v>
      </c>
      <c r="M84" s="22">
        <v>145</v>
      </c>
      <c r="N84" s="22">
        <v>146.91034482758621</v>
      </c>
    </row>
    <row r="85" spans="1:14" x14ac:dyDescent="0.25">
      <c r="A85" s="19">
        <v>1976</v>
      </c>
      <c r="B85" s="19" t="s">
        <v>23</v>
      </c>
      <c r="C85" s="24">
        <f t="shared" si="3"/>
        <v>23</v>
      </c>
      <c r="D85" s="19">
        <f t="shared" si="5"/>
        <v>1.5518360783697911</v>
      </c>
      <c r="E85" s="22">
        <v>168</v>
      </c>
      <c r="F85" s="22">
        <v>127</v>
      </c>
      <c r="G85" s="22">
        <v>134</v>
      </c>
      <c r="H85" s="22">
        <v>117</v>
      </c>
      <c r="I85" s="22">
        <v>144</v>
      </c>
      <c r="J85" s="22">
        <v>271</v>
      </c>
      <c r="K85" s="22">
        <v>127</v>
      </c>
      <c r="L85" s="22">
        <f t="shared" si="4"/>
        <v>265</v>
      </c>
      <c r="M85" s="22">
        <v>138</v>
      </c>
      <c r="N85" s="22">
        <v>139.92028985507247</v>
      </c>
    </row>
    <row r="86" spans="1:14" x14ac:dyDescent="0.25">
      <c r="A86" s="19">
        <v>1976</v>
      </c>
      <c r="B86" s="19" t="s">
        <v>23</v>
      </c>
      <c r="C86" s="24">
        <f t="shared" si="3"/>
        <v>24</v>
      </c>
      <c r="D86" s="19">
        <f t="shared" si="5"/>
        <v>0.48741271745563908</v>
      </c>
      <c r="E86" s="22">
        <v>141</v>
      </c>
      <c r="F86" s="22">
        <v>102</v>
      </c>
      <c r="G86" s="22">
        <v>139</v>
      </c>
      <c r="H86" s="22">
        <v>146</v>
      </c>
      <c r="I86" s="22">
        <v>102</v>
      </c>
      <c r="J86" s="22">
        <v>236</v>
      </c>
      <c r="K86" s="22">
        <v>134</v>
      </c>
      <c r="L86" s="22">
        <f t="shared" si="4"/>
        <v>245</v>
      </c>
      <c r="M86" s="22">
        <v>111</v>
      </c>
      <c r="N86" s="22">
        <v>113.2072072072072</v>
      </c>
    </row>
    <row r="87" spans="1:14" x14ac:dyDescent="0.25">
      <c r="A87" s="19">
        <v>1976</v>
      </c>
      <c r="B87" s="19" t="s">
        <v>23</v>
      </c>
      <c r="C87" s="24">
        <f t="shared" si="3"/>
        <v>25</v>
      </c>
      <c r="D87" s="19">
        <f t="shared" si="5"/>
        <v>1.7095284281348508</v>
      </c>
      <c r="E87" s="22">
        <v>172</v>
      </c>
      <c r="F87" s="22">
        <v>128</v>
      </c>
      <c r="G87" s="22">
        <v>99</v>
      </c>
      <c r="H87" s="22">
        <v>102</v>
      </c>
      <c r="I87" s="22">
        <v>133</v>
      </c>
      <c r="J87" s="22">
        <v>266</v>
      </c>
      <c r="K87" s="22">
        <v>133</v>
      </c>
      <c r="L87" s="22">
        <f t="shared" si="4"/>
        <v>282</v>
      </c>
      <c r="M87" s="22">
        <v>149</v>
      </c>
      <c r="N87" s="22">
        <v>150.89261744966444</v>
      </c>
    </row>
    <row r="88" spans="1:14" x14ac:dyDescent="0.25">
      <c r="A88" s="19">
        <v>1976</v>
      </c>
      <c r="B88" s="19" t="s">
        <v>23</v>
      </c>
      <c r="C88" s="24">
        <f t="shared" si="3"/>
        <v>26</v>
      </c>
      <c r="D88" s="19">
        <f t="shared" si="5"/>
        <v>2.064336215106235</v>
      </c>
      <c r="E88" s="22">
        <v>181</v>
      </c>
      <c r="F88" s="22">
        <v>104</v>
      </c>
      <c r="G88" s="22">
        <v>92</v>
      </c>
      <c r="H88" s="22">
        <v>115</v>
      </c>
      <c r="I88" s="22">
        <v>83</v>
      </c>
      <c r="J88" s="22">
        <v>211</v>
      </c>
      <c r="K88" s="22">
        <v>128</v>
      </c>
      <c r="L88" s="22">
        <f t="shared" si="4"/>
        <v>257</v>
      </c>
      <c r="M88" s="22">
        <v>129</v>
      </c>
      <c r="N88" s="22">
        <v>130.99224806201551</v>
      </c>
    </row>
    <row r="89" spans="1:14" x14ac:dyDescent="0.25">
      <c r="A89" s="19">
        <v>1976</v>
      </c>
      <c r="B89" s="19" t="s">
        <v>23</v>
      </c>
      <c r="C89" s="24">
        <f t="shared" si="3"/>
        <v>27</v>
      </c>
      <c r="D89" s="19">
        <f t="shared" si="5"/>
        <v>-2.5087419280804525E-2</v>
      </c>
      <c r="E89" s="22">
        <v>128</v>
      </c>
      <c r="F89" s="22">
        <v>132</v>
      </c>
      <c r="G89" s="22">
        <v>110</v>
      </c>
      <c r="H89" s="22">
        <v>111</v>
      </c>
      <c r="I89" s="22">
        <v>107</v>
      </c>
      <c r="J89" s="22">
        <v>251</v>
      </c>
      <c r="K89" s="22">
        <v>144</v>
      </c>
      <c r="L89" s="22">
        <f t="shared" si="4"/>
        <v>249</v>
      </c>
      <c r="M89" s="22">
        <v>105</v>
      </c>
      <c r="N89" s="22">
        <v>100</v>
      </c>
    </row>
    <row r="90" spans="1:14" x14ac:dyDescent="0.25">
      <c r="A90" s="19">
        <v>1976</v>
      </c>
      <c r="B90" s="19" t="s">
        <v>23</v>
      </c>
      <c r="C90" s="24">
        <f t="shared" si="3"/>
        <v>28</v>
      </c>
      <c r="D90" s="19">
        <f t="shared" si="5"/>
        <v>-2.0750879662265791</v>
      </c>
      <c r="E90" s="22">
        <v>76</v>
      </c>
      <c r="F90" s="22">
        <v>160</v>
      </c>
      <c r="G90" s="22">
        <v>133</v>
      </c>
      <c r="H90" s="22">
        <v>114</v>
      </c>
      <c r="I90" s="22">
        <v>153</v>
      </c>
      <c r="J90" s="22">
        <v>293</v>
      </c>
      <c r="K90" s="22">
        <v>140</v>
      </c>
      <c r="L90" s="22">
        <f t="shared" si="4"/>
        <v>252</v>
      </c>
      <c r="M90" s="22">
        <v>112</v>
      </c>
      <c r="N90" s="22">
        <v>128</v>
      </c>
    </row>
    <row r="91" spans="1:14" x14ac:dyDescent="0.25">
      <c r="A91" s="19">
        <v>1976</v>
      </c>
      <c r="B91" s="19" t="s">
        <v>23</v>
      </c>
      <c r="C91" s="24">
        <f t="shared" si="3"/>
        <v>29</v>
      </c>
      <c r="D91" s="19">
        <f t="shared" si="5"/>
        <v>5.3758755601725258E-2</v>
      </c>
      <c r="E91" s="22">
        <v>130</v>
      </c>
      <c r="F91" s="22">
        <v>145</v>
      </c>
      <c r="G91" s="22">
        <v>116</v>
      </c>
      <c r="H91" s="22">
        <v>111</v>
      </c>
      <c r="I91" s="22">
        <v>153</v>
      </c>
      <c r="J91" s="22">
        <v>247</v>
      </c>
      <c r="K91" s="22">
        <v>94</v>
      </c>
      <c r="L91" s="22">
        <f t="shared" si="4"/>
        <v>224</v>
      </c>
      <c r="M91" s="22">
        <v>130</v>
      </c>
      <c r="N91" s="22">
        <v>156</v>
      </c>
    </row>
    <row r="92" spans="1:14" x14ac:dyDescent="0.25">
      <c r="A92" s="19">
        <v>1976</v>
      </c>
      <c r="B92" s="19" t="s">
        <v>23</v>
      </c>
      <c r="C92" s="24">
        <f t="shared" si="3"/>
        <v>30</v>
      </c>
      <c r="D92" s="19">
        <f t="shared" si="5"/>
        <v>-0.69527990578230769</v>
      </c>
      <c r="E92" s="22">
        <v>111</v>
      </c>
      <c r="F92" s="22">
        <v>153</v>
      </c>
      <c r="G92" s="22">
        <v>111</v>
      </c>
      <c r="H92" s="22">
        <v>133</v>
      </c>
      <c r="I92" s="22">
        <v>146</v>
      </c>
      <c r="J92" s="22">
        <v>271</v>
      </c>
      <c r="K92" s="22">
        <v>125</v>
      </c>
      <c r="L92" s="22">
        <f t="shared" si="4"/>
        <v>277</v>
      </c>
      <c r="M92" s="22">
        <v>152</v>
      </c>
      <c r="N92" s="22">
        <v>224</v>
      </c>
    </row>
    <row r="93" spans="1:14" x14ac:dyDescent="0.25">
      <c r="A93" s="19">
        <v>1976</v>
      </c>
      <c r="B93" s="19" t="s">
        <v>23</v>
      </c>
      <c r="C93" s="24">
        <f t="shared" si="3"/>
        <v>31</v>
      </c>
      <c r="D93" s="19">
        <f t="shared" si="5"/>
        <v>-1.6414340043726652</v>
      </c>
      <c r="E93" s="22">
        <v>87</v>
      </c>
      <c r="F93" s="22">
        <v>156</v>
      </c>
      <c r="G93" s="22">
        <v>118</v>
      </c>
      <c r="H93" s="22">
        <v>122</v>
      </c>
      <c r="I93" s="22">
        <v>123</v>
      </c>
      <c r="J93" s="22">
        <v>223</v>
      </c>
      <c r="K93" s="22">
        <v>100</v>
      </c>
      <c r="L93" s="22">
        <f t="shared" si="4"/>
        <v>189</v>
      </c>
      <c r="M93" s="22">
        <v>89</v>
      </c>
      <c r="N93" s="22">
        <v>250</v>
      </c>
    </row>
    <row r="94" spans="1:14" x14ac:dyDescent="0.25">
      <c r="A94" s="19">
        <v>1976</v>
      </c>
      <c r="B94" s="19" t="s">
        <v>23</v>
      </c>
      <c r="C94" s="24">
        <f t="shared" si="3"/>
        <v>32</v>
      </c>
      <c r="D94" s="19">
        <f t="shared" si="5"/>
        <v>-1.0895107801949566</v>
      </c>
      <c r="E94" s="22">
        <v>101</v>
      </c>
      <c r="F94" s="22">
        <v>146</v>
      </c>
      <c r="G94" s="22">
        <v>98</v>
      </c>
      <c r="H94" s="22">
        <v>78</v>
      </c>
      <c r="I94" s="22">
        <v>110</v>
      </c>
      <c r="J94" s="22">
        <v>227</v>
      </c>
      <c r="K94" s="22">
        <v>117</v>
      </c>
      <c r="L94" s="22">
        <f t="shared" si="4"/>
        <v>218</v>
      </c>
      <c r="M94" s="22">
        <v>101</v>
      </c>
      <c r="N94" s="22">
        <v>95</v>
      </c>
    </row>
    <row r="95" spans="1:14" x14ac:dyDescent="0.25">
      <c r="A95" s="19">
        <v>1976</v>
      </c>
      <c r="B95" s="19" t="s">
        <v>23</v>
      </c>
      <c r="C95" s="24">
        <f t="shared" si="3"/>
        <v>33</v>
      </c>
      <c r="D95" s="19">
        <f t="shared" si="5"/>
        <v>-1.0106646053124269</v>
      </c>
      <c r="E95" s="22">
        <v>103</v>
      </c>
      <c r="F95" s="22">
        <v>163</v>
      </c>
      <c r="G95" s="22">
        <v>122</v>
      </c>
      <c r="H95" s="22">
        <v>135</v>
      </c>
      <c r="I95" s="22">
        <v>151</v>
      </c>
      <c r="J95" s="22">
        <v>263</v>
      </c>
      <c r="K95" s="22">
        <v>112</v>
      </c>
      <c r="L95" s="22">
        <f t="shared" si="4"/>
        <v>219</v>
      </c>
      <c r="M95" s="22">
        <v>107</v>
      </c>
      <c r="N95" s="22">
        <v>139</v>
      </c>
    </row>
    <row r="96" spans="1:14" x14ac:dyDescent="0.25">
      <c r="A96" s="19">
        <v>1976</v>
      </c>
      <c r="B96" s="19" t="s">
        <v>23</v>
      </c>
      <c r="C96" s="24">
        <f t="shared" si="3"/>
        <v>34</v>
      </c>
      <c r="D96" s="19">
        <f t="shared" si="5"/>
        <v>-1.3260493048425459</v>
      </c>
      <c r="E96" s="22">
        <v>95</v>
      </c>
      <c r="F96" s="22">
        <v>160</v>
      </c>
      <c r="G96" s="22">
        <v>111</v>
      </c>
      <c r="H96" s="22">
        <v>154</v>
      </c>
      <c r="I96" s="22">
        <v>154</v>
      </c>
      <c r="J96" s="22">
        <v>289</v>
      </c>
      <c r="K96" s="22">
        <v>135</v>
      </c>
      <c r="L96" s="22">
        <f t="shared" si="4"/>
        <v>246</v>
      </c>
      <c r="M96" s="22">
        <v>111</v>
      </c>
      <c r="N96" s="22">
        <v>90</v>
      </c>
    </row>
    <row r="97" spans="1:14" x14ac:dyDescent="0.25">
      <c r="A97" s="19">
        <v>1976</v>
      </c>
      <c r="B97" s="19" t="s">
        <v>23</v>
      </c>
      <c r="C97" s="24">
        <f t="shared" si="3"/>
        <v>35</v>
      </c>
      <c r="D97" s="19">
        <f t="shared" si="5"/>
        <v>1.2758744662809369</v>
      </c>
      <c r="E97" s="22">
        <v>161</v>
      </c>
      <c r="F97" s="22">
        <v>129</v>
      </c>
      <c r="G97" s="22">
        <v>106</v>
      </c>
      <c r="H97" s="22">
        <v>156</v>
      </c>
      <c r="I97" s="22">
        <v>121</v>
      </c>
      <c r="J97" s="22">
        <v>278</v>
      </c>
      <c r="K97" s="22">
        <v>157</v>
      </c>
      <c r="L97" s="22">
        <f t="shared" si="4"/>
        <v>268</v>
      </c>
      <c r="M97" s="22">
        <v>111</v>
      </c>
      <c r="N97" s="22">
        <v>318</v>
      </c>
    </row>
    <row r="98" spans="1:14" x14ac:dyDescent="0.25">
      <c r="A98" s="19">
        <v>1976</v>
      </c>
      <c r="B98" s="19" t="s">
        <v>23</v>
      </c>
      <c r="C98" s="24">
        <f t="shared" si="3"/>
        <v>36</v>
      </c>
      <c r="D98" s="19">
        <f t="shared" si="5"/>
        <v>-0.1827797690458641</v>
      </c>
      <c r="E98" s="22">
        <v>124</v>
      </c>
      <c r="F98" s="22">
        <v>178</v>
      </c>
      <c r="G98" s="22">
        <v>81</v>
      </c>
      <c r="H98" s="22">
        <v>113</v>
      </c>
      <c r="I98" s="22">
        <v>91</v>
      </c>
      <c r="J98" s="22">
        <v>221</v>
      </c>
      <c r="K98" s="22">
        <v>130</v>
      </c>
      <c r="L98" s="22">
        <f t="shared" si="4"/>
        <v>225</v>
      </c>
      <c r="M98" s="22">
        <v>95</v>
      </c>
      <c r="N98" s="22">
        <v>253</v>
      </c>
    </row>
    <row r="99" spans="1:14" x14ac:dyDescent="0.25">
      <c r="A99" s="19">
        <v>1976</v>
      </c>
      <c r="B99" s="19" t="s">
        <v>23</v>
      </c>
      <c r="C99" s="24">
        <f t="shared" si="3"/>
        <v>37</v>
      </c>
      <c r="D99" s="19">
        <f t="shared" si="5"/>
        <v>-0.1827797690458641</v>
      </c>
      <c r="E99" s="22">
        <v>124</v>
      </c>
      <c r="F99" s="22">
        <v>139</v>
      </c>
      <c r="G99" s="22">
        <v>109</v>
      </c>
      <c r="H99" s="22">
        <v>147</v>
      </c>
      <c r="I99" s="22">
        <v>134</v>
      </c>
      <c r="J99" s="22">
        <v>249</v>
      </c>
      <c r="K99" s="22">
        <v>115</v>
      </c>
      <c r="L99" s="22">
        <f t="shared" si="4"/>
        <v>216</v>
      </c>
      <c r="M99" s="22">
        <v>101</v>
      </c>
      <c r="N99" s="22">
        <v>272</v>
      </c>
    </row>
    <row r="100" spans="1:14" x14ac:dyDescent="0.25">
      <c r="A100" s="19">
        <v>1976</v>
      </c>
      <c r="B100" s="19" t="s">
        <v>23</v>
      </c>
      <c r="C100" s="24">
        <f t="shared" si="3"/>
        <v>38</v>
      </c>
      <c r="D100" s="19">
        <f t="shared" si="5"/>
        <v>-2.2722034034329033</v>
      </c>
      <c r="E100" s="22">
        <v>71</v>
      </c>
      <c r="F100" s="22">
        <v>137</v>
      </c>
      <c r="G100" s="22">
        <v>127</v>
      </c>
      <c r="H100" s="22">
        <v>94</v>
      </c>
      <c r="I100" s="22">
        <v>108</v>
      </c>
      <c r="J100" s="22">
        <v>227</v>
      </c>
      <c r="K100" s="22">
        <v>119</v>
      </c>
      <c r="L100" s="22">
        <f t="shared" si="4"/>
        <v>213</v>
      </c>
      <c r="M100" s="22">
        <v>94</v>
      </c>
      <c r="N100" s="22">
        <v>256</v>
      </c>
    </row>
    <row r="101" spans="1:14" x14ac:dyDescent="0.25">
      <c r="A101" s="19">
        <v>1976</v>
      </c>
      <c r="B101" s="19" t="s">
        <v>23</v>
      </c>
      <c r="C101" s="24">
        <f t="shared" si="3"/>
        <v>39</v>
      </c>
      <c r="D101" s="19">
        <f t="shared" si="5"/>
        <v>-0.26162594392839389</v>
      </c>
      <c r="E101" s="22">
        <v>122</v>
      </c>
      <c r="F101" s="22">
        <v>149</v>
      </c>
      <c r="G101" s="22">
        <v>137</v>
      </c>
      <c r="H101" s="22">
        <v>107</v>
      </c>
      <c r="I101" s="22">
        <v>149</v>
      </c>
      <c r="J101" s="22">
        <v>289</v>
      </c>
      <c r="K101" s="22">
        <v>140</v>
      </c>
      <c r="L101" s="22">
        <f t="shared" si="4"/>
        <v>278</v>
      </c>
      <c r="M101" s="22">
        <v>138</v>
      </c>
      <c r="N101" s="22">
        <v>239</v>
      </c>
    </row>
    <row r="102" spans="1:14" x14ac:dyDescent="0.25">
      <c r="A102" s="19">
        <v>1976</v>
      </c>
      <c r="B102" s="19" t="s">
        <v>23</v>
      </c>
      <c r="C102" s="24">
        <f t="shared" si="3"/>
        <v>40</v>
      </c>
      <c r="D102" s="19">
        <f t="shared" si="5"/>
        <v>-0.53758755601724817</v>
      </c>
      <c r="E102" s="22">
        <v>115</v>
      </c>
      <c r="F102" s="22">
        <v>125</v>
      </c>
      <c r="G102" s="22">
        <v>88</v>
      </c>
      <c r="H102" s="22">
        <v>159</v>
      </c>
      <c r="I102" s="22">
        <v>113</v>
      </c>
      <c r="J102" s="22">
        <v>229</v>
      </c>
      <c r="K102" s="22">
        <v>116</v>
      </c>
      <c r="L102" s="22">
        <f t="shared" si="4"/>
        <v>187</v>
      </c>
      <c r="M102" s="22">
        <v>71</v>
      </c>
      <c r="N102" s="22">
        <v>216</v>
      </c>
    </row>
    <row r="103" spans="1:14" x14ac:dyDescent="0.25">
      <c r="A103" s="19">
        <v>1976</v>
      </c>
      <c r="B103" s="19" t="s">
        <v>23</v>
      </c>
      <c r="C103" s="24">
        <f t="shared" si="3"/>
        <v>41</v>
      </c>
      <c r="D103" s="19">
        <f t="shared" si="5"/>
        <v>1.0787590290746125</v>
      </c>
      <c r="E103" s="22">
        <v>156</v>
      </c>
      <c r="F103" s="22">
        <v>132</v>
      </c>
      <c r="G103" s="22">
        <v>95</v>
      </c>
      <c r="H103" s="22">
        <v>147</v>
      </c>
      <c r="I103" s="22">
        <v>113</v>
      </c>
      <c r="J103" s="22">
        <v>286</v>
      </c>
      <c r="K103" s="22">
        <v>173</v>
      </c>
      <c r="L103" s="22">
        <f t="shared" si="4"/>
        <v>275</v>
      </c>
      <c r="M103" s="22">
        <v>102</v>
      </c>
      <c r="N103" s="22">
        <v>196</v>
      </c>
    </row>
    <row r="104" spans="1:14" x14ac:dyDescent="0.25">
      <c r="A104" s="19">
        <v>1976</v>
      </c>
      <c r="B104" s="19" t="s">
        <v>23</v>
      </c>
      <c r="C104" s="24">
        <f t="shared" ref="C104:C112" si="6">C103+1</f>
        <v>42</v>
      </c>
      <c r="D104" s="19">
        <f t="shared" si="5"/>
        <v>0.29029728024931462</v>
      </c>
      <c r="E104" s="22">
        <v>136</v>
      </c>
      <c r="F104" s="22">
        <v>130</v>
      </c>
      <c r="G104" s="22">
        <v>80</v>
      </c>
      <c r="H104" s="22">
        <v>130</v>
      </c>
      <c r="I104" s="22">
        <v>121</v>
      </c>
      <c r="J104" s="22">
        <v>259</v>
      </c>
      <c r="K104" s="22">
        <v>138</v>
      </c>
      <c r="L104" s="22">
        <f t="shared" si="4"/>
        <v>255</v>
      </c>
      <c r="M104" s="22">
        <v>117</v>
      </c>
      <c r="N104" s="22">
        <v>154</v>
      </c>
    </row>
    <row r="105" spans="1:14" x14ac:dyDescent="0.25">
      <c r="A105" s="19">
        <v>1976</v>
      </c>
      <c r="B105" s="19" t="s">
        <v>23</v>
      </c>
      <c r="C105" s="24">
        <f t="shared" si="6"/>
        <v>43</v>
      </c>
      <c r="D105" s="19">
        <f t="shared" si="5"/>
        <v>-0.65585681834104281</v>
      </c>
      <c r="E105" s="22">
        <v>112</v>
      </c>
      <c r="F105" s="22">
        <v>174</v>
      </c>
      <c r="G105" s="22">
        <v>87</v>
      </c>
      <c r="H105" s="22">
        <v>115</v>
      </c>
      <c r="I105" s="22">
        <v>102</v>
      </c>
      <c r="J105" s="22">
        <v>244</v>
      </c>
      <c r="K105" s="22">
        <v>142</v>
      </c>
      <c r="L105" s="22">
        <f t="shared" si="4"/>
        <v>265</v>
      </c>
      <c r="M105" s="22">
        <v>123</v>
      </c>
      <c r="N105" s="22">
        <v>218</v>
      </c>
    </row>
    <row r="106" spans="1:14" x14ac:dyDescent="0.25">
      <c r="A106" s="19">
        <v>1976</v>
      </c>
      <c r="B106" s="19" t="s">
        <v>23</v>
      </c>
      <c r="C106" s="24">
        <f t="shared" si="6"/>
        <v>44</v>
      </c>
      <c r="D106" s="19">
        <f t="shared" si="5"/>
        <v>-0.10393359416333431</v>
      </c>
      <c r="E106" s="22">
        <v>126</v>
      </c>
      <c r="F106" s="22">
        <v>186</v>
      </c>
      <c r="G106" s="22">
        <v>144</v>
      </c>
      <c r="H106" s="22">
        <v>155</v>
      </c>
      <c r="I106" s="22">
        <v>151</v>
      </c>
      <c r="J106" s="22">
        <v>290</v>
      </c>
      <c r="K106" s="22">
        <v>139</v>
      </c>
      <c r="L106" s="22">
        <f t="shared" si="4"/>
        <v>250</v>
      </c>
      <c r="M106" s="22">
        <v>111</v>
      </c>
      <c r="N106" s="22">
        <v>154</v>
      </c>
    </row>
    <row r="107" spans="1:14" x14ac:dyDescent="0.25">
      <c r="A107" s="19">
        <v>1976</v>
      </c>
      <c r="B107" s="19" t="s">
        <v>23</v>
      </c>
      <c r="C107" s="24">
        <f t="shared" si="6"/>
        <v>45</v>
      </c>
      <c r="D107" s="19">
        <f t="shared" si="5"/>
        <v>0.40856654257310931</v>
      </c>
      <c r="E107" s="22">
        <v>139</v>
      </c>
      <c r="F107" s="22">
        <v>118</v>
      </c>
      <c r="G107" s="22">
        <v>128</v>
      </c>
      <c r="H107" s="22">
        <v>141</v>
      </c>
      <c r="I107" s="22">
        <v>138</v>
      </c>
      <c r="J107" s="22">
        <v>233</v>
      </c>
      <c r="K107" s="22">
        <v>95</v>
      </c>
      <c r="L107" s="22">
        <f t="shared" si="4"/>
        <v>201</v>
      </c>
      <c r="M107" s="22">
        <v>106</v>
      </c>
      <c r="N107" s="22">
        <v>124</v>
      </c>
    </row>
    <row r="108" spans="1:14" x14ac:dyDescent="0.25">
      <c r="A108" s="19">
        <v>1976</v>
      </c>
      <c r="B108" s="19" t="s">
        <v>23</v>
      </c>
      <c r="C108" s="24">
        <f t="shared" si="6"/>
        <v>46</v>
      </c>
      <c r="D108" s="19">
        <f t="shared" si="5"/>
        <v>-0.49816446857598323</v>
      </c>
      <c r="E108" s="22">
        <v>116</v>
      </c>
      <c r="F108" s="22">
        <v>156</v>
      </c>
      <c r="G108" s="22">
        <v>123</v>
      </c>
      <c r="H108" s="22">
        <v>161</v>
      </c>
      <c r="I108" s="22">
        <v>119</v>
      </c>
      <c r="J108" s="22">
        <v>269</v>
      </c>
      <c r="K108" s="22">
        <v>150</v>
      </c>
      <c r="L108" s="22">
        <f t="shared" si="4"/>
        <v>311</v>
      </c>
      <c r="M108" s="22">
        <v>161</v>
      </c>
      <c r="N108" s="22">
        <v>147</v>
      </c>
    </row>
    <row r="109" spans="1:14" x14ac:dyDescent="0.25">
      <c r="A109" s="19">
        <v>1976</v>
      </c>
      <c r="B109" s="19" t="s">
        <v>23</v>
      </c>
      <c r="C109" s="24">
        <f t="shared" si="6"/>
        <v>47</v>
      </c>
      <c r="D109" s="19">
        <f t="shared" si="5"/>
        <v>0.76337432954449336</v>
      </c>
      <c r="E109" s="22">
        <v>148</v>
      </c>
      <c r="F109" s="22">
        <v>102</v>
      </c>
      <c r="G109" s="22">
        <v>120</v>
      </c>
      <c r="H109" s="22">
        <v>147</v>
      </c>
      <c r="I109" s="22">
        <v>125</v>
      </c>
      <c r="J109" s="22">
        <v>286</v>
      </c>
      <c r="K109" s="22">
        <v>161</v>
      </c>
      <c r="L109" s="22">
        <f t="shared" si="4"/>
        <v>319</v>
      </c>
      <c r="M109" s="22">
        <v>158</v>
      </c>
      <c r="N109" s="22">
        <v>131</v>
      </c>
    </row>
    <row r="110" spans="1:14" x14ac:dyDescent="0.25">
      <c r="A110" s="19">
        <v>1976</v>
      </c>
      <c r="B110" s="19" t="s">
        <v>23</v>
      </c>
      <c r="C110" s="24">
        <f t="shared" si="6"/>
        <v>48</v>
      </c>
      <c r="D110" s="19">
        <f t="shared" si="5"/>
        <v>1.4335668160460368E-2</v>
      </c>
      <c r="E110" s="22">
        <v>129</v>
      </c>
      <c r="F110" s="22">
        <v>166</v>
      </c>
      <c r="G110" s="22">
        <v>111</v>
      </c>
      <c r="H110" s="22">
        <v>132</v>
      </c>
      <c r="I110" s="22">
        <v>132</v>
      </c>
      <c r="J110" s="22">
        <v>276</v>
      </c>
      <c r="K110" s="22">
        <v>144</v>
      </c>
      <c r="L110" s="22">
        <f t="shared" si="4"/>
        <v>221</v>
      </c>
      <c r="M110" s="22">
        <v>77</v>
      </c>
      <c r="N110" s="22">
        <v>136</v>
      </c>
    </row>
    <row r="111" spans="1:14" x14ac:dyDescent="0.25">
      <c r="A111" s="19">
        <v>1976</v>
      </c>
      <c r="B111" s="19" t="s">
        <v>23</v>
      </c>
      <c r="C111" s="24">
        <f t="shared" si="6"/>
        <v>49</v>
      </c>
      <c r="D111" s="19">
        <f t="shared" si="5"/>
        <v>1.5518360783697911</v>
      </c>
      <c r="E111" s="22">
        <v>168</v>
      </c>
      <c r="F111" s="22">
        <v>110</v>
      </c>
      <c r="G111" s="22">
        <v>117</v>
      </c>
      <c r="H111" s="22">
        <v>154</v>
      </c>
      <c r="I111" s="22">
        <v>130</v>
      </c>
      <c r="J111" s="22">
        <v>272</v>
      </c>
      <c r="K111" s="22">
        <v>142</v>
      </c>
      <c r="L111" s="22">
        <f t="shared" si="4"/>
        <v>255</v>
      </c>
      <c r="M111" s="22">
        <v>113</v>
      </c>
      <c r="N111" s="22">
        <v>153</v>
      </c>
    </row>
    <row r="112" spans="1:14" x14ac:dyDescent="0.25">
      <c r="A112" s="19">
        <v>1976</v>
      </c>
      <c r="B112" s="19" t="s">
        <v>23</v>
      </c>
      <c r="C112" s="24">
        <f t="shared" si="6"/>
        <v>50</v>
      </c>
      <c r="D112" s="19">
        <f t="shared" si="5"/>
        <v>-0.26162594392839389</v>
      </c>
      <c r="E112" s="22">
        <v>122</v>
      </c>
      <c r="F112" s="22">
        <v>209</v>
      </c>
      <c r="G112" s="22">
        <v>126</v>
      </c>
      <c r="H112" s="22">
        <v>151</v>
      </c>
      <c r="I112" s="22">
        <v>146</v>
      </c>
      <c r="J112" s="22">
        <v>272</v>
      </c>
      <c r="K112" s="22">
        <v>126</v>
      </c>
      <c r="L112" s="22">
        <f t="shared" si="4"/>
        <v>250</v>
      </c>
      <c r="M112" s="22">
        <v>124</v>
      </c>
      <c r="N112" s="22">
        <v>146</v>
      </c>
    </row>
    <row r="114" spans="5:14" x14ac:dyDescent="0.25">
      <c r="E114" s="22">
        <f>AVERAGE(E3:E112)</f>
        <v>128.63636363636363</v>
      </c>
      <c r="F114" s="22">
        <f t="shared" ref="F114:N114" si="7">AVERAGE(F3:F112)</f>
        <v>125.21818181818182</v>
      </c>
      <c r="G114" s="22">
        <f t="shared" si="7"/>
        <v>108.27272727272727</v>
      </c>
      <c r="H114" s="22">
        <f t="shared" si="7"/>
        <v>123.38181818181818</v>
      </c>
      <c r="I114" s="22">
        <f t="shared" si="7"/>
        <v>122.25454545454545</v>
      </c>
      <c r="J114" s="22">
        <f t="shared" si="7"/>
        <v>180.46363636363637</v>
      </c>
      <c r="K114" s="22">
        <f t="shared" si="7"/>
        <v>128.6090909090909</v>
      </c>
      <c r="L114" s="22">
        <f t="shared" si="7"/>
        <v>180.70909090909092</v>
      </c>
      <c r="M114" s="22">
        <f t="shared" si="7"/>
        <v>128.1</v>
      </c>
      <c r="N114" s="22">
        <f t="shared" si="7"/>
        <v>167.79099072047546</v>
      </c>
    </row>
    <row r="115" spans="5:14" x14ac:dyDescent="0.25">
      <c r="E115" s="19">
        <f>_xlfn.STDEV.S(E3:E112)</f>
        <v>25.365846890857185</v>
      </c>
      <c r="F115" s="19">
        <f t="shared" ref="F115:N115" si="8">_xlfn.STDEV.S(F3:F112)</f>
        <v>26.912151281013262</v>
      </c>
      <c r="G115" s="19">
        <f t="shared" si="8"/>
        <v>15.030799627693552</v>
      </c>
      <c r="H115" s="19">
        <f t="shared" si="8"/>
        <v>19.885904748667102</v>
      </c>
      <c r="I115" s="19">
        <f t="shared" si="8"/>
        <v>18.715855204345477</v>
      </c>
      <c r="J115" s="19">
        <f t="shared" si="8"/>
        <v>69.902117314171321</v>
      </c>
      <c r="K115" s="19">
        <f t="shared" si="8"/>
        <v>17.254753608839263</v>
      </c>
      <c r="L115" s="19">
        <f t="shared" si="8"/>
        <v>69.817500691701184</v>
      </c>
      <c r="M115" s="19">
        <f t="shared" si="8"/>
        <v>38.989989305654404</v>
      </c>
      <c r="N115" s="19">
        <f t="shared" si="8"/>
        <v>87.543788910704933</v>
      </c>
    </row>
  </sheetData>
  <mergeCells count="1">
    <mergeCell ref="E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98"/>
  <sheetViews>
    <sheetView zoomScale="90" zoomScaleNormal="90" workbookViewId="0">
      <pane ySplit="1" topLeftCell="A77" activePane="bottomLeft" state="frozen"/>
      <selection pane="bottomLeft" activeCell="I75" sqref="I75"/>
    </sheetView>
  </sheetViews>
  <sheetFormatPr defaultColWidth="8.85546875" defaultRowHeight="15" x14ac:dyDescent="0.25"/>
  <cols>
    <col min="1" max="1" width="6.140625" style="4" bestFit="1" customWidth="1"/>
    <col min="2" max="2" width="4.140625" style="4" bestFit="1" customWidth="1"/>
    <col min="3" max="3" width="4.42578125" style="4" bestFit="1" customWidth="1"/>
    <col min="4" max="4" width="6.42578125" style="4" customWidth="1"/>
    <col min="5" max="5" width="9.5703125" style="4" bestFit="1" customWidth="1"/>
    <col min="6" max="6" width="8.85546875" style="4" bestFit="1" customWidth="1"/>
    <col min="7" max="7" width="8.42578125" style="4" bestFit="1" customWidth="1"/>
    <col min="8" max="8" width="11.140625" style="4" bestFit="1" customWidth="1"/>
    <col min="9" max="9" width="10.42578125" style="4" bestFit="1" customWidth="1"/>
    <col min="10" max="10" width="12" style="4" bestFit="1" customWidth="1"/>
    <col min="11" max="11" width="7.42578125" style="4" bestFit="1" customWidth="1"/>
    <col min="12" max="12" width="10.85546875" style="4" bestFit="1" customWidth="1"/>
    <col min="13" max="13" width="11.85546875" style="4" bestFit="1" customWidth="1"/>
    <col min="14" max="14" width="12.140625" style="4" bestFit="1" customWidth="1"/>
    <col min="15" max="15" width="8.5703125" style="4" bestFit="1" customWidth="1"/>
    <col min="16" max="16" width="7.42578125" style="4" bestFit="1" customWidth="1"/>
    <col min="17" max="17" width="11.42578125" style="4" bestFit="1" customWidth="1"/>
    <col min="18" max="18" width="11" style="4" bestFit="1" customWidth="1"/>
    <col min="19" max="19" width="9.42578125" style="4" bestFit="1" customWidth="1"/>
    <col min="20" max="20" width="10.42578125" style="4" bestFit="1" customWidth="1"/>
    <col min="21" max="21" width="12.140625" style="4" bestFit="1" customWidth="1"/>
    <col min="22" max="22" width="11.5703125" style="4" bestFit="1" customWidth="1"/>
    <col min="25" max="25" width="6" customWidth="1"/>
    <col min="26" max="26" width="7.85546875" customWidth="1"/>
    <col min="27" max="27" width="21.5703125" customWidth="1"/>
    <col min="28" max="28" width="21.42578125" customWidth="1"/>
    <col min="29" max="29" width="24.140625" customWidth="1"/>
    <col min="30" max="30" width="18.5703125" customWidth="1"/>
    <col min="31" max="31" width="23.140625" customWidth="1"/>
    <col min="32" max="32" width="22.5703125" customWidth="1"/>
    <col min="33" max="33" width="25.42578125" customWidth="1"/>
    <col min="34" max="34" width="24.5703125" customWidth="1"/>
    <col min="35" max="35" width="21.42578125" customWidth="1"/>
    <col min="36" max="36" width="20.85546875" customWidth="1"/>
    <col min="37" max="37" width="23.42578125" customWidth="1"/>
    <col min="38" max="38" width="23" customWidth="1"/>
    <col min="39" max="42" width="3" customWidth="1"/>
    <col min="43" max="43" width="8.42578125" customWidth="1"/>
    <col min="44" max="44" width="6" customWidth="1"/>
    <col min="45" max="48" width="3" customWidth="1"/>
    <col min="49" max="49" width="8.42578125" customWidth="1"/>
    <col min="50" max="50" width="9" bestFit="1" customWidth="1"/>
    <col min="51" max="51" width="11.5703125" bestFit="1" customWidth="1"/>
    <col min="52" max="52" width="10.5703125" bestFit="1" customWidth="1"/>
  </cols>
  <sheetData>
    <row r="1" spans="1:22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25</v>
      </c>
      <c r="F1" s="2" t="s">
        <v>0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1" t="s">
        <v>11</v>
      </c>
      <c r="R1" s="2" t="s">
        <v>12</v>
      </c>
      <c r="S1" s="3" t="s">
        <v>13</v>
      </c>
      <c r="T1" s="2" t="s">
        <v>14</v>
      </c>
      <c r="U1" s="2" t="s">
        <v>15</v>
      </c>
      <c r="V1" s="3" t="s">
        <v>16</v>
      </c>
    </row>
    <row r="2" spans="1:22" x14ac:dyDescent="0.25">
      <c r="A2" s="4">
        <v>1976</v>
      </c>
      <c r="B2" s="4" t="s">
        <v>22</v>
      </c>
      <c r="C2" s="4">
        <v>8</v>
      </c>
      <c r="D2" s="4" t="s">
        <v>21</v>
      </c>
      <c r="E2" s="4">
        <v>1</v>
      </c>
      <c r="F2" s="5">
        <v>2.9</v>
      </c>
      <c r="G2" s="4">
        <v>20</v>
      </c>
      <c r="H2" s="4">
        <v>22</v>
      </c>
      <c r="I2" s="5">
        <v>9.1</v>
      </c>
      <c r="J2" s="4">
        <v>78</v>
      </c>
      <c r="K2" s="4">
        <v>93</v>
      </c>
      <c r="L2" s="4">
        <v>211</v>
      </c>
      <c r="M2" s="5">
        <v>62.5</v>
      </c>
      <c r="N2" s="5">
        <v>6.7</v>
      </c>
      <c r="O2" s="5">
        <v>5.4</v>
      </c>
      <c r="P2" s="5">
        <v>4.8</v>
      </c>
      <c r="Q2" s="4">
        <v>148</v>
      </c>
      <c r="R2" s="5">
        <v>148.5</v>
      </c>
      <c r="S2" s="6">
        <v>4.4400000000000004</v>
      </c>
      <c r="T2" s="5">
        <v>114.4</v>
      </c>
      <c r="U2" s="5">
        <v>14.7</v>
      </c>
      <c r="V2" s="6">
        <v>0.88</v>
      </c>
    </row>
    <row r="3" spans="1:22" x14ac:dyDescent="0.25">
      <c r="A3" s="4">
        <v>1976</v>
      </c>
      <c r="B3" s="4" t="s">
        <v>22</v>
      </c>
      <c r="C3" s="4">
        <v>8</v>
      </c>
      <c r="D3" s="4" t="s">
        <v>21</v>
      </c>
      <c r="E3" s="4">
        <v>2</v>
      </c>
      <c r="F3" s="5">
        <v>2.8</v>
      </c>
      <c r="G3" s="4">
        <v>26</v>
      </c>
      <c r="H3" s="4">
        <v>22</v>
      </c>
      <c r="I3" s="5">
        <v>8.9</v>
      </c>
      <c r="J3" s="4">
        <v>71</v>
      </c>
      <c r="K3" s="4">
        <v>56</v>
      </c>
      <c r="L3" s="4">
        <v>234</v>
      </c>
      <c r="M3" s="5">
        <v>57.7</v>
      </c>
      <c r="N3" s="5">
        <v>6.5</v>
      </c>
      <c r="O3" s="5">
        <v>5.5</v>
      </c>
      <c r="P3" s="5">
        <v>4.7</v>
      </c>
      <c r="Q3" s="4">
        <v>156</v>
      </c>
      <c r="R3" s="5">
        <v>149.80000000000001</v>
      </c>
      <c r="S3" s="6">
        <v>4.29</v>
      </c>
      <c r="T3" s="5">
        <v>115.7</v>
      </c>
      <c r="U3" s="5">
        <v>14.6</v>
      </c>
      <c r="V3" s="6">
        <v>0.94</v>
      </c>
    </row>
    <row r="4" spans="1:22" x14ac:dyDescent="0.25">
      <c r="A4" s="4">
        <v>1976</v>
      </c>
      <c r="B4" s="4" t="s">
        <v>22</v>
      </c>
      <c r="C4" s="4">
        <v>8</v>
      </c>
      <c r="D4" s="4" t="s">
        <v>21</v>
      </c>
      <c r="E4" s="4">
        <v>3</v>
      </c>
      <c r="F4" s="5">
        <v>2.9</v>
      </c>
      <c r="G4" s="4">
        <v>14</v>
      </c>
      <c r="H4" s="4">
        <v>18</v>
      </c>
      <c r="I4" s="5">
        <v>9.3000000000000007</v>
      </c>
      <c r="J4" s="4">
        <v>61</v>
      </c>
      <c r="K4" s="4">
        <v>27</v>
      </c>
      <c r="L4" s="4">
        <v>190</v>
      </c>
      <c r="M4" s="5">
        <v>43.3</v>
      </c>
      <c r="N4" s="5">
        <v>6.8</v>
      </c>
      <c r="O4" s="5">
        <v>4.3</v>
      </c>
      <c r="P4" s="5">
        <v>4.9000000000000004</v>
      </c>
      <c r="Q4" s="4">
        <v>73</v>
      </c>
      <c r="R4" s="5">
        <v>150.6</v>
      </c>
      <c r="S4" s="6">
        <v>4.53</v>
      </c>
      <c r="T4" s="5">
        <v>115.2</v>
      </c>
      <c r="U4" s="5">
        <v>16.600000000000001</v>
      </c>
      <c r="V4" s="6">
        <v>0.53</v>
      </c>
    </row>
    <row r="5" spans="1:22" x14ac:dyDescent="0.25">
      <c r="A5" s="4">
        <v>1976</v>
      </c>
      <c r="B5" s="4" t="s">
        <v>22</v>
      </c>
      <c r="C5" s="4">
        <v>8</v>
      </c>
      <c r="D5" s="4" t="s">
        <v>21</v>
      </c>
      <c r="E5" s="4">
        <v>4</v>
      </c>
      <c r="F5" s="5">
        <v>2.8</v>
      </c>
      <c r="G5" s="4">
        <v>22</v>
      </c>
      <c r="H5" s="4">
        <v>23</v>
      </c>
      <c r="I5" s="5">
        <v>9.4</v>
      </c>
      <c r="J5" s="4">
        <v>76</v>
      </c>
      <c r="K5" s="4">
        <v>41</v>
      </c>
      <c r="L5" s="4">
        <v>249</v>
      </c>
      <c r="M5" s="5">
        <v>62.4</v>
      </c>
      <c r="N5" s="5">
        <v>6.8</v>
      </c>
      <c r="O5" s="5">
        <v>5.0999999999999996</v>
      </c>
      <c r="P5" s="5">
        <v>4.7</v>
      </c>
      <c r="Q5" s="4">
        <v>103</v>
      </c>
      <c r="R5" s="5">
        <v>150.30000000000001</v>
      </c>
      <c r="S5" s="6">
        <v>4.55</v>
      </c>
      <c r="T5" s="5">
        <v>115.1</v>
      </c>
      <c r="U5" s="5">
        <v>16.2</v>
      </c>
      <c r="V5" s="6">
        <v>0.85</v>
      </c>
    </row>
    <row r="6" spans="1:22" x14ac:dyDescent="0.25">
      <c r="A6" s="4">
        <v>1976</v>
      </c>
      <c r="B6" s="4" t="s">
        <v>22</v>
      </c>
      <c r="C6" s="4">
        <v>8</v>
      </c>
      <c r="D6" s="4" t="s">
        <v>21</v>
      </c>
      <c r="E6" s="4">
        <v>5</v>
      </c>
      <c r="F6" s="5">
        <v>2.8</v>
      </c>
      <c r="G6" s="4">
        <v>22</v>
      </c>
      <c r="H6" s="4">
        <v>25</v>
      </c>
      <c r="I6" s="5">
        <v>8.6999999999999993</v>
      </c>
      <c r="J6" s="4">
        <v>68</v>
      </c>
      <c r="K6" s="4">
        <v>50</v>
      </c>
      <c r="L6" s="4">
        <v>232</v>
      </c>
      <c r="M6" s="5">
        <v>54.9</v>
      </c>
      <c r="N6" s="5">
        <v>6.1</v>
      </c>
      <c r="O6" s="5">
        <v>4.2</v>
      </c>
      <c r="P6" s="5">
        <v>4.5999999999999996</v>
      </c>
      <c r="Q6" s="4">
        <v>94</v>
      </c>
      <c r="R6" s="5">
        <v>148.19999999999999</v>
      </c>
      <c r="S6" s="6">
        <v>4.16</v>
      </c>
      <c r="T6" s="5">
        <v>116.5</v>
      </c>
      <c r="U6" s="5">
        <v>11.3</v>
      </c>
      <c r="V6" s="6">
        <v>0.63</v>
      </c>
    </row>
    <row r="7" spans="1:22" x14ac:dyDescent="0.25">
      <c r="A7" s="4">
        <v>1976</v>
      </c>
      <c r="B7" s="4" t="s">
        <v>22</v>
      </c>
      <c r="C7" s="4">
        <v>8</v>
      </c>
      <c r="D7" s="4" t="s">
        <v>21</v>
      </c>
      <c r="E7" s="4">
        <v>6</v>
      </c>
      <c r="F7" s="5">
        <v>2.8</v>
      </c>
      <c r="G7" s="4">
        <v>25</v>
      </c>
      <c r="H7" s="4">
        <v>22</v>
      </c>
      <c r="I7" s="5">
        <v>8.9</v>
      </c>
      <c r="J7" s="4">
        <v>79</v>
      </c>
      <c r="K7" s="4">
        <v>39</v>
      </c>
      <c r="L7" s="4">
        <v>205</v>
      </c>
      <c r="M7" s="5">
        <v>67.5</v>
      </c>
      <c r="N7" s="5">
        <v>6.5</v>
      </c>
      <c r="O7" s="5">
        <v>4.4000000000000004</v>
      </c>
      <c r="P7" s="5">
        <v>4.8</v>
      </c>
      <c r="Q7" s="4">
        <v>119</v>
      </c>
      <c r="R7" s="5">
        <v>150.6</v>
      </c>
      <c r="S7" s="6">
        <v>4.01</v>
      </c>
      <c r="T7" s="5">
        <v>116.3</v>
      </c>
      <c r="U7" s="5">
        <v>14.4</v>
      </c>
      <c r="V7" s="6">
        <v>0.6</v>
      </c>
    </row>
    <row r="8" spans="1:22" x14ac:dyDescent="0.25">
      <c r="A8" s="4">
        <v>1976</v>
      </c>
      <c r="B8" s="4" t="s">
        <v>22</v>
      </c>
      <c r="C8" s="4">
        <v>8</v>
      </c>
      <c r="D8" s="4" t="s">
        <v>21</v>
      </c>
      <c r="E8" s="4">
        <v>7</v>
      </c>
      <c r="F8" s="5">
        <v>2.9</v>
      </c>
      <c r="G8" s="4">
        <v>23</v>
      </c>
      <c r="H8" s="4">
        <v>23</v>
      </c>
      <c r="I8" s="5">
        <v>9.1999999999999993</v>
      </c>
      <c r="J8" s="4">
        <v>75</v>
      </c>
      <c r="K8" s="4">
        <v>30</v>
      </c>
      <c r="L8" s="4">
        <v>236</v>
      </c>
      <c r="M8" s="5">
        <v>61.8</v>
      </c>
      <c r="N8" s="5">
        <v>6.4</v>
      </c>
      <c r="O8" s="5">
        <v>5.4</v>
      </c>
      <c r="P8" s="5">
        <v>4.8</v>
      </c>
      <c r="Q8" s="4">
        <v>128</v>
      </c>
      <c r="R8" s="5">
        <v>151.1</v>
      </c>
      <c r="S8" s="6">
        <v>4.1100000000000003</v>
      </c>
      <c r="T8" s="5">
        <v>116.6</v>
      </c>
      <c r="U8" s="5">
        <v>14.2</v>
      </c>
      <c r="V8" s="6">
        <v>0.7</v>
      </c>
    </row>
    <row r="9" spans="1:22" x14ac:dyDescent="0.25">
      <c r="A9" s="4">
        <v>1976</v>
      </c>
      <c r="B9" s="4" t="s">
        <v>22</v>
      </c>
      <c r="C9" s="4">
        <v>8</v>
      </c>
      <c r="D9" s="4" t="s">
        <v>21</v>
      </c>
      <c r="E9" s="4">
        <v>8</v>
      </c>
      <c r="F9" s="5">
        <v>2.9</v>
      </c>
      <c r="G9" s="4">
        <v>17</v>
      </c>
      <c r="H9" s="4">
        <v>18</v>
      </c>
      <c r="I9" s="5">
        <v>9.1999999999999993</v>
      </c>
      <c r="J9" s="4">
        <v>81</v>
      </c>
      <c r="K9" s="4">
        <v>77</v>
      </c>
      <c r="L9" s="4">
        <v>297</v>
      </c>
      <c r="M9" s="5">
        <v>63.9</v>
      </c>
      <c r="N9" s="5">
        <v>7.8</v>
      </c>
      <c r="O9" s="5">
        <v>3.7</v>
      </c>
      <c r="P9" s="5">
        <v>5</v>
      </c>
      <c r="Q9" s="4">
        <v>85</v>
      </c>
      <c r="R9" s="5">
        <v>148.1</v>
      </c>
      <c r="S9" s="6">
        <v>4.4800000000000004</v>
      </c>
      <c r="T9" s="5">
        <v>115</v>
      </c>
      <c r="U9" s="5">
        <v>10</v>
      </c>
      <c r="V9" s="6">
        <v>0.78</v>
      </c>
    </row>
    <row r="10" spans="1:22" x14ac:dyDescent="0.25">
      <c r="A10" s="4">
        <v>1976</v>
      </c>
      <c r="B10" s="4" t="s">
        <v>22</v>
      </c>
      <c r="C10" s="4">
        <v>8</v>
      </c>
      <c r="D10" s="4" t="s">
        <v>21</v>
      </c>
      <c r="E10" s="4">
        <v>9</v>
      </c>
      <c r="F10" s="5">
        <v>2.7</v>
      </c>
      <c r="G10" s="4">
        <v>15</v>
      </c>
      <c r="H10" s="4">
        <v>22</v>
      </c>
      <c r="I10" s="5">
        <v>9</v>
      </c>
      <c r="J10" s="4">
        <v>64</v>
      </c>
      <c r="K10" s="4">
        <v>38</v>
      </c>
      <c r="L10" s="4">
        <v>302</v>
      </c>
      <c r="M10" s="5">
        <v>52.6</v>
      </c>
      <c r="N10" s="5">
        <v>7.4</v>
      </c>
      <c r="O10" s="5">
        <v>4.2</v>
      </c>
      <c r="P10" s="5">
        <v>4.5</v>
      </c>
      <c r="Q10" s="4">
        <v>100</v>
      </c>
      <c r="R10" s="5">
        <v>150.69999999999999</v>
      </c>
      <c r="S10" s="6">
        <v>4.05</v>
      </c>
      <c r="T10" s="5">
        <v>117.5</v>
      </c>
      <c r="U10" s="5">
        <v>13</v>
      </c>
      <c r="V10" s="6">
        <v>0.71</v>
      </c>
    </row>
    <row r="11" spans="1:22" x14ac:dyDescent="0.25">
      <c r="A11" s="4">
        <v>1976</v>
      </c>
      <c r="B11" s="4" t="s">
        <v>22</v>
      </c>
      <c r="C11" s="4">
        <v>8</v>
      </c>
      <c r="D11" s="4" t="s">
        <v>21</v>
      </c>
      <c r="E11" s="4">
        <v>10</v>
      </c>
      <c r="F11" s="5">
        <v>2.8</v>
      </c>
      <c r="G11" s="4">
        <v>17</v>
      </c>
      <c r="H11" s="4">
        <v>21</v>
      </c>
      <c r="I11" s="5">
        <v>8.9</v>
      </c>
      <c r="J11" s="4">
        <v>72</v>
      </c>
      <c r="K11" s="4">
        <v>35</v>
      </c>
      <c r="L11" s="4">
        <v>252</v>
      </c>
      <c r="M11" s="5">
        <v>58.8</v>
      </c>
      <c r="N11" s="5">
        <v>7.1</v>
      </c>
      <c r="O11" s="5">
        <v>5.8</v>
      </c>
      <c r="P11" s="5">
        <v>4.5999999999999996</v>
      </c>
      <c r="Q11" s="4">
        <v>89</v>
      </c>
      <c r="R11" s="5">
        <v>150.30000000000001</v>
      </c>
      <c r="S11" s="6">
        <v>3.83</v>
      </c>
      <c r="T11" s="5">
        <v>118</v>
      </c>
      <c r="U11" s="5">
        <v>14.4</v>
      </c>
      <c r="V11" s="6">
        <v>0.65</v>
      </c>
    </row>
    <row r="12" spans="1:22" x14ac:dyDescent="0.25">
      <c r="A12" s="4">
        <v>1976</v>
      </c>
      <c r="B12" s="4" t="s">
        <v>22</v>
      </c>
      <c r="C12" s="4">
        <v>8</v>
      </c>
      <c r="D12" s="4" t="s">
        <v>24</v>
      </c>
      <c r="E12" s="4">
        <v>11</v>
      </c>
      <c r="F12" s="5">
        <v>2.7</v>
      </c>
      <c r="G12" s="4">
        <v>20</v>
      </c>
      <c r="H12" s="4">
        <v>27</v>
      </c>
      <c r="I12" s="5">
        <v>9.8000000000000007</v>
      </c>
      <c r="J12" s="4">
        <v>74</v>
      </c>
      <c r="K12" s="4">
        <v>115</v>
      </c>
      <c r="L12" s="4">
        <v>275</v>
      </c>
      <c r="M12" s="5">
        <v>57.4</v>
      </c>
      <c r="N12" s="5">
        <v>7.3</v>
      </c>
      <c r="O12" s="5">
        <v>4.0999999999999996</v>
      </c>
      <c r="P12" s="5">
        <v>4.5999999999999996</v>
      </c>
      <c r="Q12" s="4">
        <v>166</v>
      </c>
      <c r="R12" s="5">
        <v>150</v>
      </c>
      <c r="S12" s="6">
        <v>4.18</v>
      </c>
      <c r="T12" s="5">
        <v>111.4</v>
      </c>
      <c r="U12" s="5">
        <v>17.899999999999999</v>
      </c>
      <c r="V12" s="6">
        <v>0.64</v>
      </c>
    </row>
    <row r="13" spans="1:22" x14ac:dyDescent="0.25">
      <c r="A13" s="4">
        <v>1976</v>
      </c>
      <c r="B13" s="4" t="s">
        <v>22</v>
      </c>
      <c r="C13" s="4">
        <v>8</v>
      </c>
      <c r="D13" s="4" t="s">
        <v>24</v>
      </c>
      <c r="E13" s="4">
        <v>12</v>
      </c>
      <c r="F13" s="5">
        <v>2.7</v>
      </c>
      <c r="G13" s="4">
        <v>19</v>
      </c>
      <c r="H13" s="4">
        <v>26</v>
      </c>
      <c r="I13" s="5">
        <v>9.1</v>
      </c>
      <c r="J13" s="4">
        <v>65</v>
      </c>
      <c r="K13" s="4">
        <v>101</v>
      </c>
      <c r="L13" s="4">
        <v>202</v>
      </c>
      <c r="M13" s="5">
        <v>46</v>
      </c>
      <c r="N13" s="5">
        <v>8.1999999999999993</v>
      </c>
      <c r="O13" s="5">
        <v>3.4</v>
      </c>
      <c r="P13" s="5">
        <v>4.4000000000000004</v>
      </c>
      <c r="Q13" s="4">
        <v>181</v>
      </c>
      <c r="R13" s="5">
        <v>151.5</v>
      </c>
      <c r="S13" s="6">
        <v>4.13</v>
      </c>
      <c r="T13" s="5">
        <v>115.3</v>
      </c>
      <c r="U13" s="5">
        <v>15.7</v>
      </c>
      <c r="V13" s="6">
        <v>0.61</v>
      </c>
    </row>
    <row r="14" spans="1:22" x14ac:dyDescent="0.25">
      <c r="A14" s="4">
        <v>1976</v>
      </c>
      <c r="B14" s="4" t="s">
        <v>22</v>
      </c>
      <c r="C14" s="4">
        <v>8</v>
      </c>
      <c r="D14" s="4" t="s">
        <v>24</v>
      </c>
      <c r="E14" s="4">
        <v>13</v>
      </c>
      <c r="F14" s="5">
        <v>2.6</v>
      </c>
      <c r="G14" s="4">
        <v>27</v>
      </c>
      <c r="H14" s="4">
        <v>34</v>
      </c>
      <c r="I14" s="5">
        <v>8.9</v>
      </c>
      <c r="J14" s="4">
        <v>66</v>
      </c>
      <c r="K14" s="4">
        <v>618</v>
      </c>
      <c r="L14" s="4">
        <v>183</v>
      </c>
      <c r="M14" s="5">
        <v>48.6</v>
      </c>
      <c r="N14" s="5">
        <v>7.6</v>
      </c>
      <c r="O14" s="5">
        <v>3.8</v>
      </c>
      <c r="P14" s="5">
        <v>4.4000000000000004</v>
      </c>
      <c r="Q14" s="4">
        <v>192</v>
      </c>
      <c r="R14" s="5">
        <v>152.80000000000001</v>
      </c>
      <c r="S14" s="6">
        <v>4.24</v>
      </c>
      <c r="T14" s="5">
        <v>113.9</v>
      </c>
      <c r="U14" s="5">
        <v>17.600000000000001</v>
      </c>
      <c r="V14" s="6">
        <v>0.68</v>
      </c>
    </row>
    <row r="15" spans="1:22" x14ac:dyDescent="0.25">
      <c r="A15" s="4">
        <v>1976</v>
      </c>
      <c r="B15" s="4" t="s">
        <v>22</v>
      </c>
      <c r="C15" s="4">
        <v>8</v>
      </c>
      <c r="D15" s="4" t="s">
        <v>24</v>
      </c>
      <c r="E15" s="4">
        <v>14</v>
      </c>
      <c r="F15" s="5">
        <v>2.8</v>
      </c>
      <c r="G15" s="4">
        <v>28</v>
      </c>
      <c r="H15" s="4">
        <v>31</v>
      </c>
      <c r="I15" s="5">
        <v>9.3000000000000007</v>
      </c>
      <c r="J15" s="4">
        <v>72</v>
      </c>
      <c r="K15" s="4">
        <v>225</v>
      </c>
      <c r="L15" s="4">
        <v>204</v>
      </c>
      <c r="M15" s="5">
        <v>54.8</v>
      </c>
      <c r="N15" s="5">
        <v>6.5</v>
      </c>
      <c r="O15" s="5">
        <v>4.9000000000000004</v>
      </c>
      <c r="P15" s="5">
        <v>4.7</v>
      </c>
      <c r="Q15" s="4">
        <v>229</v>
      </c>
      <c r="R15" s="5">
        <v>151.1</v>
      </c>
      <c r="S15" s="6">
        <v>4.16</v>
      </c>
      <c r="T15" s="5">
        <v>113.1</v>
      </c>
      <c r="U15" s="5">
        <v>18</v>
      </c>
      <c r="V15" s="6">
        <v>0.74</v>
      </c>
    </row>
    <row r="16" spans="1:22" x14ac:dyDescent="0.25">
      <c r="A16" s="4">
        <v>1976</v>
      </c>
      <c r="B16" s="4" t="s">
        <v>22</v>
      </c>
      <c r="C16" s="4">
        <v>8</v>
      </c>
      <c r="D16" s="4" t="s">
        <v>24</v>
      </c>
      <c r="E16" s="4">
        <v>15</v>
      </c>
      <c r="F16" s="5">
        <v>2.7</v>
      </c>
      <c r="H16" s="4">
        <v>32</v>
      </c>
      <c r="I16" s="5">
        <v>10</v>
      </c>
      <c r="J16" s="4">
        <v>68</v>
      </c>
      <c r="L16" s="4">
        <v>238</v>
      </c>
      <c r="M16" s="5"/>
      <c r="N16" s="5">
        <v>7.8</v>
      </c>
      <c r="O16" s="5">
        <v>4.8</v>
      </c>
      <c r="P16" s="5">
        <v>4.5999999999999996</v>
      </c>
      <c r="R16" s="5">
        <v>151.4</v>
      </c>
      <c r="S16" s="6">
        <v>4.7300000000000004</v>
      </c>
      <c r="T16" s="5">
        <v>111.4</v>
      </c>
      <c r="U16" s="5">
        <v>16.7</v>
      </c>
      <c r="V16" s="6"/>
    </row>
    <row r="17" spans="1:26" x14ac:dyDescent="0.25">
      <c r="A17" s="4">
        <v>1976</v>
      </c>
      <c r="B17" s="4" t="s">
        <v>22</v>
      </c>
      <c r="C17" s="4">
        <v>8</v>
      </c>
      <c r="D17" s="4" t="s">
        <v>24</v>
      </c>
      <c r="E17" s="4">
        <v>16</v>
      </c>
      <c r="F17" s="5">
        <v>2.7</v>
      </c>
      <c r="G17" s="4">
        <v>15</v>
      </c>
      <c r="H17" s="4">
        <v>21</v>
      </c>
      <c r="I17" s="5">
        <v>8.8000000000000007</v>
      </c>
      <c r="J17" s="4">
        <v>75</v>
      </c>
      <c r="K17" s="4">
        <v>166</v>
      </c>
      <c r="L17" s="4">
        <v>203</v>
      </c>
      <c r="M17" s="5">
        <v>55.2</v>
      </c>
      <c r="N17" s="5">
        <v>6.2</v>
      </c>
      <c r="O17" s="5">
        <v>5</v>
      </c>
      <c r="P17" s="5">
        <v>4.5</v>
      </c>
      <c r="Q17" s="4">
        <v>157</v>
      </c>
      <c r="R17" s="5">
        <v>147.6</v>
      </c>
      <c r="S17" s="6">
        <v>4.6399999999999997</v>
      </c>
      <c r="T17" s="5">
        <v>113.2</v>
      </c>
      <c r="U17" s="5">
        <v>16.399999999999999</v>
      </c>
      <c r="V17" s="6">
        <v>0.84</v>
      </c>
    </row>
    <row r="18" spans="1:26" x14ac:dyDescent="0.25">
      <c r="A18" s="4">
        <v>1976</v>
      </c>
      <c r="B18" s="4" t="s">
        <v>22</v>
      </c>
      <c r="C18" s="4">
        <v>8</v>
      </c>
      <c r="D18" s="4" t="s">
        <v>24</v>
      </c>
      <c r="E18" s="4">
        <v>17</v>
      </c>
      <c r="F18" s="5">
        <v>2.8</v>
      </c>
      <c r="G18" s="4">
        <v>20</v>
      </c>
      <c r="H18" s="4">
        <v>23</v>
      </c>
      <c r="I18" s="5">
        <v>8.9</v>
      </c>
      <c r="J18" s="4">
        <v>72</v>
      </c>
      <c r="K18" s="4">
        <v>634</v>
      </c>
      <c r="L18" s="4">
        <v>209</v>
      </c>
      <c r="M18" s="5">
        <v>57.4</v>
      </c>
      <c r="N18" s="5">
        <v>6.3</v>
      </c>
      <c r="O18" s="5">
        <v>4.9000000000000004</v>
      </c>
      <c r="P18" s="5">
        <v>4.7</v>
      </c>
      <c r="Q18" s="4">
        <v>95</v>
      </c>
      <c r="R18" s="5">
        <v>148.69999999999999</v>
      </c>
      <c r="S18" s="6">
        <v>4.8</v>
      </c>
      <c r="T18" s="5">
        <v>112.3</v>
      </c>
      <c r="U18" s="5">
        <v>15.9</v>
      </c>
      <c r="V18" s="6">
        <v>0.55000000000000004</v>
      </c>
    </row>
    <row r="19" spans="1:26" x14ac:dyDescent="0.25">
      <c r="A19" s="4">
        <v>1976</v>
      </c>
      <c r="B19" s="4" t="s">
        <v>23</v>
      </c>
      <c r="C19" s="4">
        <v>8</v>
      </c>
      <c r="D19" s="4" t="s">
        <v>21</v>
      </c>
      <c r="E19" s="4">
        <v>1</v>
      </c>
      <c r="F19" s="5">
        <v>2.9</v>
      </c>
      <c r="G19" s="4">
        <v>29</v>
      </c>
      <c r="H19" s="4">
        <v>22</v>
      </c>
      <c r="I19" s="5">
        <v>9.1</v>
      </c>
      <c r="J19" s="4">
        <v>106</v>
      </c>
      <c r="K19" s="4">
        <v>247</v>
      </c>
      <c r="L19" s="4">
        <v>240</v>
      </c>
      <c r="M19" s="5">
        <v>88.9</v>
      </c>
      <c r="N19" s="5">
        <v>6.6</v>
      </c>
      <c r="O19" s="5">
        <v>6</v>
      </c>
      <c r="P19" s="5">
        <v>5.2</v>
      </c>
      <c r="Q19" s="4">
        <v>105</v>
      </c>
      <c r="R19" s="5"/>
      <c r="S19" s="6"/>
      <c r="T19" s="5"/>
      <c r="U19" s="5"/>
      <c r="V19" s="6">
        <v>0.8</v>
      </c>
    </row>
    <row r="20" spans="1:26" x14ac:dyDescent="0.25">
      <c r="A20" s="4">
        <v>1976</v>
      </c>
      <c r="B20" s="4" t="s">
        <v>23</v>
      </c>
      <c r="C20" s="4">
        <v>8</v>
      </c>
      <c r="D20" s="4" t="s">
        <v>21</v>
      </c>
      <c r="E20" s="4">
        <v>2</v>
      </c>
      <c r="F20" s="5">
        <v>2.6</v>
      </c>
      <c r="G20" s="4">
        <v>21</v>
      </c>
      <c r="H20" s="4">
        <v>23</v>
      </c>
      <c r="I20" s="5">
        <v>9.1</v>
      </c>
      <c r="J20" s="4">
        <v>92</v>
      </c>
      <c r="K20" s="4">
        <v>49</v>
      </c>
      <c r="L20" s="4">
        <v>241</v>
      </c>
      <c r="M20" s="5">
        <v>80.099999999999994</v>
      </c>
      <c r="N20" s="5">
        <v>7.8</v>
      </c>
      <c r="O20" s="5">
        <v>4.5999999999999996</v>
      </c>
      <c r="P20" s="5">
        <v>4.5999999999999996</v>
      </c>
      <c r="Q20" s="4">
        <v>110</v>
      </c>
      <c r="R20" s="5">
        <v>151.30000000000001</v>
      </c>
      <c r="S20" s="6">
        <v>5.0999999999999996</v>
      </c>
      <c r="T20" s="5">
        <v>114</v>
      </c>
      <c r="U20" s="5">
        <v>16.5</v>
      </c>
      <c r="V20" s="6">
        <v>0.7</v>
      </c>
    </row>
    <row r="21" spans="1:26" s="4" customFormat="1" x14ac:dyDescent="0.25">
      <c r="A21" s="4">
        <v>1976</v>
      </c>
      <c r="B21" s="4" t="s">
        <v>23</v>
      </c>
      <c r="C21" s="4">
        <v>8</v>
      </c>
      <c r="D21" s="4" t="s">
        <v>21</v>
      </c>
      <c r="E21" s="4">
        <v>3</v>
      </c>
      <c r="F21" s="5">
        <v>2.7</v>
      </c>
      <c r="G21" s="4">
        <v>20</v>
      </c>
      <c r="H21" s="4">
        <v>19</v>
      </c>
      <c r="I21" s="5">
        <v>9.1</v>
      </c>
      <c r="J21" s="4">
        <v>91</v>
      </c>
      <c r="K21" s="4">
        <v>107</v>
      </c>
      <c r="L21" s="4">
        <v>214</v>
      </c>
      <c r="M21" s="5">
        <v>79.2</v>
      </c>
      <c r="N21" s="5">
        <v>6.5</v>
      </c>
      <c r="O21" s="5">
        <v>4.4000000000000004</v>
      </c>
      <c r="P21" s="5">
        <v>4.8</v>
      </c>
      <c r="Q21" s="4">
        <v>83</v>
      </c>
      <c r="R21" s="5">
        <v>151.69999999999999</v>
      </c>
      <c r="S21" s="6">
        <v>4.91</v>
      </c>
      <c r="T21" s="5">
        <v>113.1</v>
      </c>
      <c r="U21" s="5">
        <v>17.8</v>
      </c>
      <c r="V21" s="6">
        <v>0.68</v>
      </c>
      <c r="Y21"/>
      <c r="Z21"/>
    </row>
    <row r="22" spans="1:26" s="4" customFormat="1" x14ac:dyDescent="0.25">
      <c r="A22" s="4">
        <v>1976</v>
      </c>
      <c r="B22" s="4" t="s">
        <v>23</v>
      </c>
      <c r="C22" s="4">
        <v>8</v>
      </c>
      <c r="D22" s="4" t="s">
        <v>21</v>
      </c>
      <c r="E22" s="4">
        <v>4</v>
      </c>
      <c r="F22" s="5">
        <v>2.5</v>
      </c>
      <c r="G22" s="4">
        <v>25</v>
      </c>
      <c r="H22" s="4">
        <v>22</v>
      </c>
      <c r="I22" s="5">
        <v>9</v>
      </c>
      <c r="J22" s="4">
        <v>85</v>
      </c>
      <c r="K22" s="4">
        <v>77</v>
      </c>
      <c r="L22" s="4">
        <v>274</v>
      </c>
      <c r="M22" s="5">
        <v>72.5</v>
      </c>
      <c r="N22" s="5">
        <v>6.2</v>
      </c>
      <c r="O22" s="5">
        <v>5</v>
      </c>
      <c r="P22" s="5">
        <v>4.5999999999999996</v>
      </c>
      <c r="Q22" s="4">
        <v>101</v>
      </c>
      <c r="R22" s="5">
        <v>150.1</v>
      </c>
      <c r="S22" s="6">
        <v>4.63</v>
      </c>
      <c r="T22" s="5">
        <v>112.1</v>
      </c>
      <c r="U22" s="5">
        <v>17.7</v>
      </c>
      <c r="V22" s="6">
        <v>0.69</v>
      </c>
      <c r="Y22"/>
      <c r="Z22"/>
    </row>
    <row r="23" spans="1:26" s="4" customFormat="1" x14ac:dyDescent="0.25">
      <c r="A23" s="4">
        <v>1976</v>
      </c>
      <c r="B23" s="4" t="s">
        <v>23</v>
      </c>
      <c r="C23" s="4">
        <v>8</v>
      </c>
      <c r="D23" s="4" t="s">
        <v>21</v>
      </c>
      <c r="E23" s="4">
        <v>5</v>
      </c>
      <c r="F23" s="5">
        <v>2.6</v>
      </c>
      <c r="G23" s="4">
        <v>20</v>
      </c>
      <c r="H23" s="4">
        <v>20</v>
      </c>
      <c r="I23" s="5">
        <v>9</v>
      </c>
      <c r="J23" s="4">
        <v>87</v>
      </c>
      <c r="K23" s="4">
        <v>42</v>
      </c>
      <c r="L23" s="4">
        <v>297</v>
      </c>
      <c r="M23" s="5">
        <v>76.3</v>
      </c>
      <c r="N23" s="5">
        <v>6.3</v>
      </c>
      <c r="O23" s="5">
        <v>5.5</v>
      </c>
      <c r="P23" s="5">
        <v>4.5999999999999996</v>
      </c>
      <c r="Q23" s="4">
        <v>99</v>
      </c>
      <c r="R23" s="5">
        <v>150</v>
      </c>
      <c r="S23" s="6">
        <v>4.09</v>
      </c>
      <c r="T23" s="5">
        <v>113.1</v>
      </c>
      <c r="U23" s="5">
        <v>17.7</v>
      </c>
      <c r="V23" s="6">
        <v>0.79</v>
      </c>
      <c r="Y23"/>
      <c r="Z23"/>
    </row>
    <row r="24" spans="1:26" s="4" customFormat="1" x14ac:dyDescent="0.25">
      <c r="A24" s="4">
        <v>1976</v>
      </c>
      <c r="B24" s="4" t="s">
        <v>23</v>
      </c>
      <c r="C24" s="4">
        <v>8</v>
      </c>
      <c r="D24" s="4" t="s">
        <v>21</v>
      </c>
      <c r="E24" s="4">
        <v>6</v>
      </c>
      <c r="F24" s="5">
        <v>2.8</v>
      </c>
      <c r="G24" s="4">
        <v>19</v>
      </c>
      <c r="H24" s="4">
        <v>21</v>
      </c>
      <c r="I24" s="5">
        <v>9.3000000000000007</v>
      </c>
      <c r="J24" s="4">
        <v>102</v>
      </c>
      <c r="K24" s="4">
        <v>63</v>
      </c>
      <c r="L24" s="4">
        <v>303</v>
      </c>
      <c r="M24" s="5">
        <v>86.7</v>
      </c>
      <c r="N24" s="5">
        <v>6.4</v>
      </c>
      <c r="O24" s="5">
        <v>5.8</v>
      </c>
      <c r="P24" s="5">
        <v>5</v>
      </c>
      <c r="Q24" s="4">
        <v>106</v>
      </c>
      <c r="R24" s="5">
        <v>152</v>
      </c>
      <c r="S24" s="6">
        <v>4.3</v>
      </c>
      <c r="T24" s="5">
        <v>114.5</v>
      </c>
      <c r="U24" s="5">
        <v>16.8</v>
      </c>
      <c r="V24" s="6">
        <v>0.75</v>
      </c>
      <c r="Y24"/>
      <c r="Z24"/>
    </row>
    <row r="25" spans="1:26" s="4" customFormat="1" x14ac:dyDescent="0.25">
      <c r="A25" s="4">
        <v>1976</v>
      </c>
      <c r="B25" s="4" t="s">
        <v>23</v>
      </c>
      <c r="C25" s="4">
        <v>8</v>
      </c>
      <c r="D25" s="4" t="s">
        <v>21</v>
      </c>
      <c r="E25" s="4">
        <v>7</v>
      </c>
      <c r="F25" s="5">
        <v>2.7</v>
      </c>
      <c r="G25" s="4">
        <v>18</v>
      </c>
      <c r="H25" s="4">
        <v>18</v>
      </c>
      <c r="I25" s="5">
        <v>9.1999999999999993</v>
      </c>
      <c r="J25" s="4">
        <v>91</v>
      </c>
      <c r="K25" s="4">
        <v>31</v>
      </c>
      <c r="L25" s="4">
        <v>241</v>
      </c>
      <c r="M25" s="5">
        <v>78.3</v>
      </c>
      <c r="N25" s="5">
        <v>5.7</v>
      </c>
      <c r="O25" s="5">
        <v>6</v>
      </c>
      <c r="P25" s="5">
        <v>4.8</v>
      </c>
      <c r="Q25" s="4">
        <v>106</v>
      </c>
      <c r="R25" s="5">
        <v>152.1</v>
      </c>
      <c r="S25" s="6">
        <v>4.55</v>
      </c>
      <c r="T25" s="5">
        <v>115</v>
      </c>
      <c r="U25" s="5">
        <v>19.100000000000001</v>
      </c>
      <c r="V25" s="6">
        <v>0.69</v>
      </c>
    </row>
    <row r="26" spans="1:26" s="4" customFormat="1" x14ac:dyDescent="0.25">
      <c r="A26" s="4">
        <v>1976</v>
      </c>
      <c r="B26" s="4" t="s">
        <v>23</v>
      </c>
      <c r="C26" s="4">
        <v>8</v>
      </c>
      <c r="D26" s="4" t="s">
        <v>21</v>
      </c>
      <c r="E26" s="4">
        <v>8</v>
      </c>
      <c r="F26" s="5">
        <v>2.6</v>
      </c>
      <c r="G26" s="4">
        <v>21</v>
      </c>
      <c r="H26" s="4">
        <v>20</v>
      </c>
      <c r="I26" s="5">
        <v>9.4</v>
      </c>
      <c r="J26" s="4">
        <v>91</v>
      </c>
      <c r="K26" s="4">
        <v>30</v>
      </c>
      <c r="L26" s="4">
        <v>248</v>
      </c>
      <c r="M26" s="5">
        <v>79.2</v>
      </c>
      <c r="N26" s="5">
        <v>5.8</v>
      </c>
      <c r="O26" s="5">
        <v>5.0999999999999996</v>
      </c>
      <c r="P26" s="5">
        <v>4.8</v>
      </c>
      <c r="Q26" s="4">
        <v>101</v>
      </c>
      <c r="R26" s="5">
        <v>151.5</v>
      </c>
      <c r="S26" s="6">
        <v>4.46</v>
      </c>
      <c r="T26" s="5">
        <v>114.4</v>
      </c>
      <c r="U26" s="5">
        <v>16.2</v>
      </c>
      <c r="V26" s="6">
        <v>0.7</v>
      </c>
    </row>
    <row r="27" spans="1:26" s="4" customFormat="1" x14ac:dyDescent="0.25">
      <c r="A27" s="4">
        <v>1976</v>
      </c>
      <c r="B27" s="4" t="s">
        <v>23</v>
      </c>
      <c r="C27" s="4">
        <v>8</v>
      </c>
      <c r="D27" s="4" t="s">
        <v>21</v>
      </c>
      <c r="E27" s="4">
        <v>9</v>
      </c>
      <c r="F27" s="5">
        <v>2.7</v>
      </c>
      <c r="G27" s="4">
        <v>23</v>
      </c>
      <c r="H27" s="4">
        <v>22</v>
      </c>
      <c r="I27" s="5">
        <v>9</v>
      </c>
      <c r="J27" s="4">
        <v>89</v>
      </c>
      <c r="K27" s="4">
        <v>107</v>
      </c>
      <c r="L27" s="4">
        <v>287</v>
      </c>
      <c r="M27" s="5">
        <v>76.2</v>
      </c>
      <c r="N27" s="5">
        <v>6</v>
      </c>
      <c r="O27" s="5">
        <v>5.7</v>
      </c>
      <c r="P27" s="5">
        <v>4.9000000000000004</v>
      </c>
      <c r="Q27" s="4">
        <v>89</v>
      </c>
      <c r="R27" s="5">
        <v>150.19999999999999</v>
      </c>
      <c r="S27" s="6">
        <v>4.7300000000000004</v>
      </c>
      <c r="T27" s="5">
        <v>115</v>
      </c>
      <c r="U27" s="5">
        <v>14.4</v>
      </c>
      <c r="V27" s="6">
        <v>0.64</v>
      </c>
    </row>
    <row r="28" spans="1:26" x14ac:dyDescent="0.25">
      <c r="A28" s="4">
        <v>1976</v>
      </c>
      <c r="B28" s="4" t="s">
        <v>23</v>
      </c>
      <c r="C28" s="4">
        <v>8</v>
      </c>
      <c r="D28" s="4" t="s">
        <v>24</v>
      </c>
      <c r="E28" s="4">
        <v>10</v>
      </c>
      <c r="F28" s="5">
        <v>2.5</v>
      </c>
      <c r="G28" s="4">
        <v>25</v>
      </c>
      <c r="H28" s="4">
        <v>22</v>
      </c>
      <c r="I28" s="5">
        <v>9.4</v>
      </c>
      <c r="J28" s="4">
        <v>88</v>
      </c>
      <c r="K28" s="4">
        <v>545</v>
      </c>
      <c r="L28" s="4">
        <v>247</v>
      </c>
      <c r="M28" s="5">
        <v>74</v>
      </c>
      <c r="N28" s="5">
        <v>8</v>
      </c>
      <c r="O28" s="5">
        <v>4.9000000000000004</v>
      </c>
      <c r="P28" s="5">
        <v>4.4000000000000004</v>
      </c>
      <c r="Q28" s="4">
        <v>139</v>
      </c>
      <c r="R28" s="5">
        <v>150.80000000000001</v>
      </c>
      <c r="S28" s="6">
        <v>4.0999999999999996</v>
      </c>
      <c r="T28" s="5">
        <v>110.2</v>
      </c>
      <c r="U28" s="5">
        <v>15.8</v>
      </c>
      <c r="V28" s="6">
        <v>0.62</v>
      </c>
    </row>
    <row r="29" spans="1:26" x14ac:dyDescent="0.25">
      <c r="A29" s="4">
        <v>1976</v>
      </c>
      <c r="B29" s="4" t="s">
        <v>23</v>
      </c>
      <c r="C29" s="4">
        <v>8</v>
      </c>
      <c r="D29" s="4" t="s">
        <v>24</v>
      </c>
      <c r="E29" s="4">
        <v>11</v>
      </c>
      <c r="F29" s="5">
        <v>2.4</v>
      </c>
      <c r="G29" s="4">
        <v>28</v>
      </c>
      <c r="H29" s="4">
        <v>27</v>
      </c>
      <c r="I29" s="5">
        <v>9.1999999999999993</v>
      </c>
      <c r="J29" s="4">
        <v>86</v>
      </c>
      <c r="K29" s="4">
        <v>543</v>
      </c>
      <c r="L29" s="4">
        <v>263</v>
      </c>
      <c r="M29" s="5">
        <v>75.900000000000006</v>
      </c>
      <c r="N29" s="5">
        <v>7.5</v>
      </c>
      <c r="O29" s="5">
        <v>6.1</v>
      </c>
      <c r="P29" s="5">
        <v>4.4000000000000004</v>
      </c>
      <c r="Q29" s="4">
        <v>108</v>
      </c>
      <c r="R29" s="5">
        <v>151</v>
      </c>
      <c r="S29" s="6">
        <v>3.68</v>
      </c>
      <c r="T29" s="5">
        <v>108.8</v>
      </c>
      <c r="U29" s="5">
        <v>21.1</v>
      </c>
      <c r="V29" s="6">
        <v>0.63</v>
      </c>
    </row>
    <row r="30" spans="1:26" x14ac:dyDescent="0.25">
      <c r="A30" s="4">
        <v>1976</v>
      </c>
      <c r="B30" s="4" t="s">
        <v>23</v>
      </c>
      <c r="C30" s="4">
        <v>8</v>
      </c>
      <c r="D30" s="4" t="s">
        <v>24</v>
      </c>
      <c r="E30" s="4">
        <v>12</v>
      </c>
      <c r="F30" s="5">
        <v>2.5</v>
      </c>
      <c r="G30" s="4">
        <v>23</v>
      </c>
      <c r="H30" s="4">
        <v>25</v>
      </c>
      <c r="I30" s="5">
        <v>9.1999999999999993</v>
      </c>
      <c r="J30" s="4">
        <v>82</v>
      </c>
      <c r="K30" s="4">
        <v>376</v>
      </c>
      <c r="L30" s="4">
        <v>265</v>
      </c>
      <c r="M30" s="5">
        <v>72.599999999999994</v>
      </c>
      <c r="N30" s="5">
        <v>7.7</v>
      </c>
      <c r="O30" s="5">
        <v>5.8</v>
      </c>
      <c r="P30" s="5">
        <v>4.5</v>
      </c>
      <c r="Q30" s="4">
        <v>121</v>
      </c>
      <c r="R30" s="5">
        <v>149.19999999999999</v>
      </c>
      <c r="S30" s="6">
        <v>4.1500000000000004</v>
      </c>
      <c r="T30" s="5">
        <v>108.6</v>
      </c>
      <c r="U30" s="5">
        <v>17.7</v>
      </c>
      <c r="V30" s="6">
        <v>0.6</v>
      </c>
    </row>
    <row r="31" spans="1:26" x14ac:dyDescent="0.25">
      <c r="A31" s="4">
        <v>1976</v>
      </c>
      <c r="B31" s="4" t="s">
        <v>23</v>
      </c>
      <c r="C31" s="4">
        <v>8</v>
      </c>
      <c r="D31" s="4" t="s">
        <v>24</v>
      </c>
      <c r="E31" s="4">
        <v>13</v>
      </c>
      <c r="F31" s="5">
        <v>2.5</v>
      </c>
      <c r="G31" s="4">
        <v>22</v>
      </c>
      <c r="H31" s="4">
        <v>24</v>
      </c>
      <c r="I31" s="5">
        <v>9.1999999999999993</v>
      </c>
      <c r="J31" s="4">
        <v>88</v>
      </c>
      <c r="K31" s="4">
        <v>144</v>
      </c>
      <c r="L31" s="4">
        <v>287</v>
      </c>
      <c r="M31" s="5">
        <v>74.400000000000006</v>
      </c>
      <c r="N31" s="5">
        <v>6.3</v>
      </c>
      <c r="O31" s="5">
        <v>6.3</v>
      </c>
      <c r="P31" s="5">
        <v>4.5</v>
      </c>
      <c r="Q31" s="4">
        <v>151</v>
      </c>
      <c r="R31" s="5">
        <v>150.30000000000001</v>
      </c>
      <c r="S31" s="6">
        <v>4.17</v>
      </c>
      <c r="T31" s="5">
        <v>108</v>
      </c>
      <c r="U31" s="5">
        <v>22.1</v>
      </c>
      <c r="V31" s="6">
        <v>0.72</v>
      </c>
    </row>
    <row r="32" spans="1:26" x14ac:dyDescent="0.25">
      <c r="A32" s="4">
        <v>1976</v>
      </c>
      <c r="B32" s="4" t="s">
        <v>23</v>
      </c>
      <c r="C32" s="4">
        <v>8</v>
      </c>
      <c r="D32" s="4" t="s">
        <v>24</v>
      </c>
      <c r="E32" s="4">
        <v>14</v>
      </c>
      <c r="F32" s="5">
        <v>2.5</v>
      </c>
      <c r="G32" s="4">
        <v>31</v>
      </c>
      <c r="H32" s="4">
        <v>27</v>
      </c>
      <c r="I32" s="5">
        <v>9.4</v>
      </c>
      <c r="J32" s="4">
        <v>77</v>
      </c>
      <c r="K32" s="4">
        <v>663</v>
      </c>
      <c r="L32" s="4">
        <v>257</v>
      </c>
      <c r="M32" s="5">
        <v>66</v>
      </c>
      <c r="N32" s="5">
        <v>7.2</v>
      </c>
      <c r="O32" s="5">
        <v>5.2</v>
      </c>
      <c r="P32" s="5">
        <v>4.5</v>
      </c>
      <c r="Q32" s="4">
        <v>123</v>
      </c>
      <c r="R32" s="5">
        <v>150.1</v>
      </c>
      <c r="S32" s="6">
        <v>5</v>
      </c>
      <c r="T32" s="5">
        <v>109.3</v>
      </c>
      <c r="U32" s="5">
        <v>17.600000000000001</v>
      </c>
      <c r="V32" s="6">
        <v>0.63</v>
      </c>
    </row>
    <row r="33" spans="1:22" x14ac:dyDescent="0.25">
      <c r="A33" s="4">
        <v>1976</v>
      </c>
      <c r="B33" s="4" t="s">
        <v>23</v>
      </c>
      <c r="C33" s="4">
        <v>8</v>
      </c>
      <c r="D33" s="4" t="s">
        <v>24</v>
      </c>
      <c r="E33" s="4">
        <v>15</v>
      </c>
      <c r="F33" s="5">
        <v>2.4</v>
      </c>
      <c r="G33" s="4">
        <v>20</v>
      </c>
      <c r="H33" s="4">
        <v>25</v>
      </c>
      <c r="I33" s="5">
        <v>9.1</v>
      </c>
      <c r="J33" s="4">
        <v>90</v>
      </c>
      <c r="K33" s="4">
        <v>138</v>
      </c>
      <c r="L33" s="4">
        <v>254</v>
      </c>
      <c r="M33" s="5">
        <v>75.599999999999994</v>
      </c>
      <c r="N33" s="5">
        <v>6.1</v>
      </c>
      <c r="O33" s="5">
        <v>5.3</v>
      </c>
      <c r="P33" s="5">
        <v>4.5</v>
      </c>
      <c r="Q33" s="4">
        <v>137</v>
      </c>
      <c r="R33" s="5">
        <v>152</v>
      </c>
      <c r="S33" s="6">
        <v>4.45</v>
      </c>
      <c r="T33" s="5">
        <v>108.7</v>
      </c>
      <c r="U33" s="5">
        <v>23.3</v>
      </c>
      <c r="V33" s="6">
        <v>0.7</v>
      </c>
    </row>
    <row r="34" spans="1:22" x14ac:dyDescent="0.25">
      <c r="A34" s="4">
        <v>1976</v>
      </c>
      <c r="B34" s="4" t="s">
        <v>23</v>
      </c>
      <c r="C34" s="4">
        <v>8</v>
      </c>
      <c r="D34" s="4" t="s">
        <v>24</v>
      </c>
      <c r="E34" s="4">
        <v>16</v>
      </c>
      <c r="F34" s="5">
        <v>2.5</v>
      </c>
      <c r="G34" s="4">
        <v>32</v>
      </c>
      <c r="H34" s="4">
        <v>25</v>
      </c>
      <c r="I34" s="5">
        <v>9.1999999999999993</v>
      </c>
      <c r="J34" s="4">
        <v>85</v>
      </c>
      <c r="K34" s="4">
        <v>1905</v>
      </c>
      <c r="L34" s="4">
        <v>241</v>
      </c>
      <c r="M34" s="5">
        <v>68.099999999999994</v>
      </c>
      <c r="N34" s="5">
        <v>6.3</v>
      </c>
      <c r="O34" s="5">
        <v>5</v>
      </c>
      <c r="P34" s="5">
        <v>4.5</v>
      </c>
      <c r="Q34" s="4">
        <v>178</v>
      </c>
      <c r="R34" s="5">
        <v>150.5</v>
      </c>
      <c r="S34" s="6">
        <v>5.16</v>
      </c>
      <c r="T34" s="5">
        <v>108.7</v>
      </c>
      <c r="U34" s="5">
        <v>20</v>
      </c>
      <c r="V34" s="6">
        <v>0.98</v>
      </c>
    </row>
    <row r="35" spans="1:22" x14ac:dyDescent="0.25">
      <c r="A35" s="4">
        <v>1976</v>
      </c>
      <c r="B35" s="4" t="s">
        <v>22</v>
      </c>
      <c r="C35" s="4">
        <v>16</v>
      </c>
      <c r="D35" s="4" t="s">
        <v>24</v>
      </c>
      <c r="E35" s="4">
        <v>1</v>
      </c>
      <c r="F35" s="5">
        <v>2.7</v>
      </c>
      <c r="G35" s="4">
        <v>23</v>
      </c>
      <c r="H35" s="4">
        <v>29</v>
      </c>
      <c r="I35" s="5">
        <v>8.6</v>
      </c>
      <c r="J35" s="4">
        <v>77</v>
      </c>
      <c r="K35" s="4">
        <v>989</v>
      </c>
      <c r="L35" s="4">
        <v>119</v>
      </c>
      <c r="M35" s="5">
        <v>59.6</v>
      </c>
      <c r="N35" s="5">
        <v>6.1</v>
      </c>
      <c r="O35" s="5">
        <v>5.7</v>
      </c>
      <c r="P35" s="5">
        <v>4.8</v>
      </c>
      <c r="Q35" s="4">
        <v>126</v>
      </c>
      <c r="R35" s="5">
        <v>150.4</v>
      </c>
      <c r="S35" s="6">
        <v>4.78</v>
      </c>
      <c r="T35" s="5">
        <v>110.7</v>
      </c>
      <c r="U35" s="5">
        <v>20.6</v>
      </c>
      <c r="V35" s="6">
        <v>0.97</v>
      </c>
    </row>
    <row r="36" spans="1:22" x14ac:dyDescent="0.25">
      <c r="A36" s="4">
        <v>1976</v>
      </c>
      <c r="B36" s="4" t="s">
        <v>22</v>
      </c>
      <c r="C36" s="4">
        <v>16</v>
      </c>
      <c r="D36" s="4" t="s">
        <v>24</v>
      </c>
      <c r="E36" s="4">
        <v>2</v>
      </c>
      <c r="F36" s="5">
        <v>2.7</v>
      </c>
      <c r="G36" s="4">
        <v>15</v>
      </c>
      <c r="H36" s="4">
        <v>36</v>
      </c>
      <c r="I36" s="5">
        <v>8.6</v>
      </c>
      <c r="J36" s="4">
        <v>82</v>
      </c>
      <c r="K36" s="4">
        <v>144</v>
      </c>
      <c r="L36" s="4">
        <v>193</v>
      </c>
      <c r="M36" s="5">
        <v>64.099999999999994</v>
      </c>
      <c r="N36" s="5">
        <v>6.1</v>
      </c>
      <c r="O36" s="5">
        <v>5.0999999999999996</v>
      </c>
      <c r="P36" s="5">
        <v>4.9000000000000004</v>
      </c>
      <c r="Q36" s="4">
        <v>172</v>
      </c>
      <c r="R36" s="5">
        <v>150.80000000000001</v>
      </c>
      <c r="S36" s="6">
        <v>4.18</v>
      </c>
      <c r="T36" s="5">
        <v>112.2</v>
      </c>
      <c r="U36" s="5">
        <v>17.8</v>
      </c>
      <c r="V36" s="6">
        <v>0.75</v>
      </c>
    </row>
    <row r="37" spans="1:22" x14ac:dyDescent="0.25">
      <c r="A37" s="4">
        <v>1976</v>
      </c>
      <c r="B37" s="4" t="s">
        <v>22</v>
      </c>
      <c r="C37" s="4">
        <v>16</v>
      </c>
      <c r="D37" s="4" t="s">
        <v>24</v>
      </c>
      <c r="E37" s="4">
        <v>3</v>
      </c>
      <c r="F37" s="5">
        <v>2.6</v>
      </c>
      <c r="G37" s="4">
        <v>30</v>
      </c>
      <c r="H37" s="4">
        <v>30</v>
      </c>
      <c r="I37" s="5">
        <v>8.9</v>
      </c>
      <c r="J37" s="4">
        <v>73</v>
      </c>
      <c r="K37" s="4">
        <v>209</v>
      </c>
      <c r="L37" s="4">
        <v>150</v>
      </c>
      <c r="M37" s="5">
        <v>53</v>
      </c>
      <c r="N37" s="5">
        <v>8.5</v>
      </c>
      <c r="O37" s="5">
        <v>3.4</v>
      </c>
      <c r="P37" s="5">
        <v>4.5999999999999996</v>
      </c>
      <c r="Q37" s="4">
        <v>272</v>
      </c>
      <c r="R37" s="5">
        <v>151.1</v>
      </c>
      <c r="S37" s="6">
        <v>4.17</v>
      </c>
      <c r="T37" s="5">
        <v>114.7</v>
      </c>
      <c r="U37" s="5">
        <v>16.899999999999999</v>
      </c>
      <c r="V37" s="6">
        <v>0.77</v>
      </c>
    </row>
    <row r="38" spans="1:22" x14ac:dyDescent="0.25">
      <c r="A38" s="4">
        <v>1976</v>
      </c>
      <c r="B38" s="4" t="s">
        <v>22</v>
      </c>
      <c r="C38" s="4">
        <v>16</v>
      </c>
      <c r="D38" s="4" t="s">
        <v>24</v>
      </c>
      <c r="E38" s="4">
        <v>4</v>
      </c>
      <c r="F38" s="5">
        <v>2.5</v>
      </c>
      <c r="H38" s="4">
        <v>25</v>
      </c>
      <c r="I38" s="5">
        <v>8.6</v>
      </c>
      <c r="J38" s="4">
        <v>67</v>
      </c>
      <c r="L38" s="4">
        <v>326</v>
      </c>
      <c r="M38" s="5"/>
      <c r="N38" s="5">
        <v>6.9</v>
      </c>
      <c r="O38" s="5">
        <v>4.2</v>
      </c>
      <c r="P38" s="5">
        <v>4.4000000000000004</v>
      </c>
      <c r="R38" s="5"/>
      <c r="S38" s="6"/>
      <c r="T38" s="5"/>
      <c r="U38" s="5"/>
      <c r="V38" s="6"/>
    </row>
    <row r="39" spans="1:22" x14ac:dyDescent="0.25">
      <c r="A39" s="4">
        <v>1976</v>
      </c>
      <c r="B39" s="4" t="s">
        <v>22</v>
      </c>
      <c r="C39" s="4">
        <v>16</v>
      </c>
      <c r="D39" s="4" t="s">
        <v>24</v>
      </c>
      <c r="E39" s="4">
        <v>5</v>
      </c>
      <c r="F39" s="5">
        <v>2.5</v>
      </c>
      <c r="G39" s="4">
        <v>28</v>
      </c>
      <c r="H39" s="4">
        <v>32</v>
      </c>
      <c r="I39" s="5">
        <v>8.8000000000000007</v>
      </c>
      <c r="J39" s="4">
        <v>69</v>
      </c>
      <c r="K39" s="4">
        <v>809</v>
      </c>
      <c r="L39" s="4">
        <v>251</v>
      </c>
      <c r="M39" s="5">
        <v>50.9</v>
      </c>
      <c r="N39" s="5">
        <v>8.1</v>
      </c>
      <c r="O39" s="5">
        <v>4.5</v>
      </c>
      <c r="P39" s="5">
        <v>4.5999999999999996</v>
      </c>
      <c r="Q39" s="4">
        <v>207</v>
      </c>
      <c r="R39" s="5">
        <v>150.30000000000001</v>
      </c>
      <c r="S39" s="6">
        <v>4.1100000000000003</v>
      </c>
      <c r="T39" s="5">
        <v>112</v>
      </c>
      <c r="U39" s="5">
        <v>17.399999999999999</v>
      </c>
      <c r="V39" s="6">
        <v>0.89</v>
      </c>
    </row>
    <row r="40" spans="1:22" x14ac:dyDescent="0.25">
      <c r="A40" s="4">
        <v>1976</v>
      </c>
      <c r="B40" s="4" t="s">
        <v>22</v>
      </c>
      <c r="C40" s="4">
        <v>16</v>
      </c>
      <c r="D40" s="4" t="s">
        <v>24</v>
      </c>
      <c r="E40" s="4">
        <v>6</v>
      </c>
      <c r="F40" s="5">
        <v>2.7</v>
      </c>
      <c r="G40" s="4">
        <v>26</v>
      </c>
      <c r="H40" s="4">
        <v>29</v>
      </c>
      <c r="I40" s="5">
        <v>8.9</v>
      </c>
      <c r="J40" s="4">
        <v>71</v>
      </c>
      <c r="K40" s="4">
        <v>167</v>
      </c>
      <c r="L40" s="4">
        <v>237</v>
      </c>
      <c r="M40" s="5">
        <v>53.1</v>
      </c>
      <c r="N40" s="5">
        <v>7.1</v>
      </c>
      <c r="O40" s="5">
        <v>4.2</v>
      </c>
      <c r="P40" s="5">
        <v>4.7</v>
      </c>
      <c r="Q40" s="4">
        <v>228</v>
      </c>
      <c r="R40" s="5">
        <v>150.69999999999999</v>
      </c>
      <c r="S40" s="6">
        <v>3.94</v>
      </c>
      <c r="T40" s="5">
        <v>111.5</v>
      </c>
      <c r="U40" s="5">
        <v>20.9</v>
      </c>
      <c r="V40" s="6">
        <v>0.84</v>
      </c>
    </row>
    <row r="41" spans="1:22" x14ac:dyDescent="0.25">
      <c r="A41" s="4">
        <v>1976</v>
      </c>
      <c r="B41" s="4" t="s">
        <v>22</v>
      </c>
      <c r="C41" s="4">
        <v>16</v>
      </c>
      <c r="D41" s="4" t="s">
        <v>72</v>
      </c>
      <c r="E41" s="4">
        <v>7</v>
      </c>
      <c r="F41" s="5">
        <v>2.6</v>
      </c>
      <c r="G41" s="4">
        <v>25</v>
      </c>
      <c r="H41" s="4">
        <v>31</v>
      </c>
      <c r="I41" s="5">
        <v>8.8000000000000007</v>
      </c>
      <c r="J41" s="4">
        <v>65</v>
      </c>
      <c r="K41" s="4">
        <v>228</v>
      </c>
      <c r="L41" s="4">
        <v>196</v>
      </c>
      <c r="M41" s="5">
        <v>49.4</v>
      </c>
      <c r="N41" s="5">
        <v>6.7</v>
      </c>
      <c r="O41" s="5">
        <v>4.4000000000000004</v>
      </c>
      <c r="P41" s="5">
        <v>4.5</v>
      </c>
      <c r="Q41" s="4">
        <v>156</v>
      </c>
      <c r="R41" s="5">
        <v>149.80000000000001</v>
      </c>
      <c r="S41" s="6">
        <v>4.1100000000000003</v>
      </c>
      <c r="T41" s="5">
        <v>112.8</v>
      </c>
      <c r="U41" s="5">
        <v>18</v>
      </c>
      <c r="V41" s="6">
        <v>0.76</v>
      </c>
    </row>
    <row r="42" spans="1:22" x14ac:dyDescent="0.25">
      <c r="A42" s="4">
        <v>1976</v>
      </c>
      <c r="B42" s="4" t="s">
        <v>22</v>
      </c>
      <c r="C42" s="4">
        <v>16</v>
      </c>
      <c r="D42" s="4" t="s">
        <v>24</v>
      </c>
      <c r="E42" s="4">
        <v>8</v>
      </c>
      <c r="F42" s="5">
        <v>2.8</v>
      </c>
      <c r="G42" s="4">
        <v>33</v>
      </c>
      <c r="H42" s="4">
        <v>30</v>
      </c>
      <c r="I42" s="5">
        <v>8.9</v>
      </c>
      <c r="J42" s="4">
        <v>75</v>
      </c>
      <c r="K42" s="4">
        <v>210</v>
      </c>
      <c r="L42" s="4">
        <v>241</v>
      </c>
      <c r="M42" s="5">
        <v>55.2</v>
      </c>
      <c r="N42" s="5">
        <v>6.6</v>
      </c>
      <c r="O42" s="5">
        <v>3.9</v>
      </c>
      <c r="P42" s="5">
        <v>4.9000000000000004</v>
      </c>
      <c r="Q42" s="4">
        <v>285</v>
      </c>
      <c r="R42" s="5">
        <v>149.4</v>
      </c>
      <c r="S42" s="6">
        <v>5.13</v>
      </c>
      <c r="T42" s="5">
        <v>110.9</v>
      </c>
      <c r="U42" s="5">
        <v>19.8</v>
      </c>
      <c r="V42" s="6">
        <v>0.6</v>
      </c>
    </row>
    <row r="43" spans="1:22" x14ac:dyDescent="0.25">
      <c r="A43" s="4">
        <v>1976</v>
      </c>
      <c r="B43" s="4" t="s">
        <v>22</v>
      </c>
      <c r="C43" s="4">
        <v>16</v>
      </c>
      <c r="D43" s="4" t="s">
        <v>24</v>
      </c>
      <c r="E43" s="4">
        <v>9</v>
      </c>
      <c r="F43" s="5">
        <v>2.7</v>
      </c>
      <c r="G43" s="4">
        <v>24</v>
      </c>
      <c r="H43" s="4">
        <v>31</v>
      </c>
      <c r="I43" s="5">
        <v>8.6999999999999993</v>
      </c>
      <c r="J43" s="4">
        <v>66</v>
      </c>
      <c r="K43" s="4">
        <v>298</v>
      </c>
      <c r="L43" s="4">
        <v>209</v>
      </c>
      <c r="M43" s="5">
        <v>53.3</v>
      </c>
      <c r="N43" s="5">
        <v>7.1</v>
      </c>
      <c r="O43" s="5">
        <v>4</v>
      </c>
      <c r="P43" s="5">
        <v>4.7</v>
      </c>
      <c r="Q43" s="4">
        <v>181</v>
      </c>
      <c r="R43" s="5">
        <v>152.4</v>
      </c>
      <c r="S43" s="6">
        <v>3.99</v>
      </c>
      <c r="T43" s="5">
        <v>112.3</v>
      </c>
      <c r="U43" s="5">
        <v>17.2</v>
      </c>
      <c r="V43" s="6">
        <v>0.81</v>
      </c>
    </row>
    <row r="44" spans="1:22" x14ac:dyDescent="0.25">
      <c r="A44" s="4">
        <v>1976</v>
      </c>
      <c r="B44" s="4" t="s">
        <v>22</v>
      </c>
      <c r="C44" s="4">
        <v>16</v>
      </c>
      <c r="D44" s="4" t="s">
        <v>21</v>
      </c>
      <c r="E44" s="4">
        <v>10</v>
      </c>
      <c r="F44" s="5">
        <v>2.8</v>
      </c>
      <c r="G44" s="4">
        <v>18</v>
      </c>
      <c r="H44" s="4">
        <v>21</v>
      </c>
      <c r="I44" s="5">
        <v>8.9</v>
      </c>
      <c r="J44" s="4">
        <v>81</v>
      </c>
      <c r="K44" s="4">
        <v>145</v>
      </c>
      <c r="L44" s="4">
        <v>219</v>
      </c>
      <c r="M44" s="5">
        <v>59.8</v>
      </c>
      <c r="N44" s="5">
        <v>5.4</v>
      </c>
      <c r="O44" s="5">
        <v>4.3</v>
      </c>
      <c r="P44" s="5">
        <v>4.7</v>
      </c>
      <c r="Q44" s="4">
        <v>152</v>
      </c>
      <c r="R44" s="5">
        <v>148.9</v>
      </c>
      <c r="S44" s="6">
        <v>3.87</v>
      </c>
      <c r="T44" s="5">
        <v>114.4</v>
      </c>
      <c r="U44" s="5">
        <v>12.6</v>
      </c>
      <c r="V44" s="6">
        <v>1.2</v>
      </c>
    </row>
    <row r="45" spans="1:22" x14ac:dyDescent="0.25">
      <c r="A45" s="4">
        <v>1976</v>
      </c>
      <c r="B45" s="4" t="s">
        <v>22</v>
      </c>
      <c r="C45" s="4">
        <v>16</v>
      </c>
      <c r="D45" s="4" t="s">
        <v>21</v>
      </c>
      <c r="E45" s="4">
        <v>11</v>
      </c>
      <c r="F45" s="5">
        <v>2.7</v>
      </c>
      <c r="G45" s="4">
        <v>29</v>
      </c>
      <c r="H45" s="4">
        <v>27</v>
      </c>
      <c r="I45" s="5">
        <v>9.1999999999999993</v>
      </c>
      <c r="J45" s="4">
        <v>82</v>
      </c>
      <c r="K45" s="4">
        <v>473</v>
      </c>
      <c r="L45" s="4">
        <v>182</v>
      </c>
      <c r="M45" s="5">
        <v>57</v>
      </c>
      <c r="N45" s="5">
        <v>6.2</v>
      </c>
      <c r="O45" s="5">
        <v>4.9000000000000004</v>
      </c>
      <c r="P45" s="5">
        <v>4.8</v>
      </c>
      <c r="Q45" s="4">
        <v>217</v>
      </c>
      <c r="R45" s="5">
        <v>149.80000000000001</v>
      </c>
      <c r="S45" s="6">
        <v>3.81</v>
      </c>
      <c r="T45" s="5">
        <v>113.4</v>
      </c>
      <c r="U45" s="5">
        <v>15.4</v>
      </c>
      <c r="V45" s="6">
        <v>1.48</v>
      </c>
    </row>
    <row r="46" spans="1:22" x14ac:dyDescent="0.25">
      <c r="A46" s="4">
        <v>1976</v>
      </c>
      <c r="B46" s="4" t="s">
        <v>22</v>
      </c>
      <c r="C46" s="4">
        <v>16</v>
      </c>
      <c r="D46" s="4" t="s">
        <v>21</v>
      </c>
      <c r="E46" s="4">
        <v>12</v>
      </c>
      <c r="F46" s="5">
        <v>2.7</v>
      </c>
      <c r="G46" s="4">
        <v>26</v>
      </c>
      <c r="H46" s="4">
        <v>26</v>
      </c>
      <c r="I46" s="5">
        <v>8.9</v>
      </c>
      <c r="J46" s="4">
        <v>74</v>
      </c>
      <c r="K46" s="4">
        <v>254</v>
      </c>
      <c r="L46" s="4">
        <v>199</v>
      </c>
      <c r="M46" s="5">
        <v>53.1</v>
      </c>
      <c r="N46" s="5">
        <v>6.3</v>
      </c>
      <c r="O46" s="5">
        <v>4.7</v>
      </c>
      <c r="P46" s="5">
        <v>4.7</v>
      </c>
      <c r="Q46" s="4">
        <v>164</v>
      </c>
      <c r="R46" s="5">
        <v>149.80000000000001</v>
      </c>
      <c r="S46" s="6">
        <v>4.97</v>
      </c>
      <c r="T46" s="5">
        <v>114.4</v>
      </c>
      <c r="U46" s="5">
        <v>16</v>
      </c>
      <c r="V46" s="6">
        <v>1.1200000000000001</v>
      </c>
    </row>
    <row r="47" spans="1:22" x14ac:dyDescent="0.25">
      <c r="A47" s="4">
        <v>1976</v>
      </c>
      <c r="B47" s="4" t="s">
        <v>22</v>
      </c>
      <c r="C47" s="4">
        <v>16</v>
      </c>
      <c r="D47" s="4" t="s">
        <v>21</v>
      </c>
      <c r="E47" s="4">
        <v>13</v>
      </c>
      <c r="F47" s="5">
        <v>2.6</v>
      </c>
      <c r="G47" s="4">
        <v>34</v>
      </c>
      <c r="H47" s="4">
        <v>28</v>
      </c>
      <c r="I47" s="5">
        <v>9.1999999999999993</v>
      </c>
      <c r="J47" s="4">
        <v>70</v>
      </c>
      <c r="K47" s="4">
        <v>117</v>
      </c>
      <c r="L47" s="4">
        <v>248</v>
      </c>
      <c r="M47" s="5">
        <v>52.1</v>
      </c>
      <c r="N47" s="5">
        <v>6.7</v>
      </c>
      <c r="O47" s="5">
        <v>3.8</v>
      </c>
      <c r="P47" s="5">
        <v>4.4000000000000004</v>
      </c>
      <c r="Q47" s="4">
        <v>191</v>
      </c>
      <c r="R47" s="5">
        <v>151.19999999999999</v>
      </c>
      <c r="S47" s="6">
        <v>4.05</v>
      </c>
      <c r="T47" s="5">
        <v>114.7</v>
      </c>
      <c r="U47" s="5">
        <v>16.600000000000001</v>
      </c>
      <c r="V47" s="6">
        <v>1.1100000000000001</v>
      </c>
    </row>
    <row r="48" spans="1:22" x14ac:dyDescent="0.25">
      <c r="A48" s="4">
        <v>1976</v>
      </c>
      <c r="B48" s="4" t="s">
        <v>22</v>
      </c>
      <c r="C48" s="4">
        <v>16</v>
      </c>
      <c r="D48" s="4" t="s">
        <v>21</v>
      </c>
      <c r="E48" s="4">
        <v>14</v>
      </c>
      <c r="F48" s="5">
        <v>2.6</v>
      </c>
      <c r="G48" s="4">
        <v>28</v>
      </c>
      <c r="H48" s="4">
        <v>25</v>
      </c>
      <c r="I48" s="5">
        <v>8.9</v>
      </c>
      <c r="J48" s="4">
        <v>65</v>
      </c>
      <c r="K48" s="4">
        <v>295</v>
      </c>
      <c r="L48" s="4">
        <v>233</v>
      </c>
      <c r="M48" s="5">
        <v>50.9</v>
      </c>
      <c r="N48" s="5">
        <v>7.7</v>
      </c>
      <c r="O48" s="5">
        <v>3.4</v>
      </c>
      <c r="P48" s="5">
        <v>4.4000000000000004</v>
      </c>
      <c r="Q48" s="4">
        <v>159</v>
      </c>
      <c r="R48" s="5">
        <v>152</v>
      </c>
      <c r="S48" s="6">
        <v>4.07</v>
      </c>
      <c r="T48" s="5">
        <v>114.7</v>
      </c>
      <c r="U48" s="5">
        <v>14.8</v>
      </c>
      <c r="V48" s="6">
        <v>1.17</v>
      </c>
    </row>
    <row r="49" spans="1:22" x14ac:dyDescent="0.25">
      <c r="A49" s="4">
        <v>1976</v>
      </c>
      <c r="B49" s="4" t="s">
        <v>22</v>
      </c>
      <c r="C49" s="4">
        <v>16</v>
      </c>
      <c r="D49" s="4" t="s">
        <v>21</v>
      </c>
      <c r="E49" s="4">
        <v>15</v>
      </c>
      <c r="F49" s="5">
        <v>2.5</v>
      </c>
      <c r="G49" s="4">
        <v>28</v>
      </c>
      <c r="H49" s="4">
        <v>29</v>
      </c>
      <c r="I49" s="5">
        <v>9.1</v>
      </c>
      <c r="J49" s="4">
        <v>73</v>
      </c>
      <c r="K49" s="4">
        <v>137</v>
      </c>
      <c r="L49" s="4">
        <v>235</v>
      </c>
      <c r="M49" s="5">
        <v>55.8</v>
      </c>
      <c r="N49" s="5">
        <v>9</v>
      </c>
      <c r="O49" s="5">
        <v>3.5</v>
      </c>
      <c r="P49" s="5">
        <v>4.4000000000000004</v>
      </c>
      <c r="Q49" s="4">
        <v>136</v>
      </c>
      <c r="R49" s="5">
        <v>152.80000000000001</v>
      </c>
      <c r="S49" s="6">
        <v>3.78</v>
      </c>
      <c r="T49" s="5">
        <v>115.2</v>
      </c>
      <c r="U49" s="5">
        <v>15</v>
      </c>
      <c r="V49" s="6">
        <v>1.29</v>
      </c>
    </row>
    <row r="50" spans="1:22" x14ac:dyDescent="0.25">
      <c r="A50" s="4">
        <v>1976</v>
      </c>
      <c r="B50" s="4" t="s">
        <v>22</v>
      </c>
      <c r="C50" s="4">
        <v>16</v>
      </c>
      <c r="D50" s="4" t="s">
        <v>21</v>
      </c>
      <c r="E50" s="4">
        <v>16</v>
      </c>
      <c r="F50" s="5">
        <v>2.5</v>
      </c>
      <c r="G50" s="4">
        <v>25</v>
      </c>
      <c r="H50" s="4">
        <v>26</v>
      </c>
      <c r="I50" s="5">
        <v>8.9</v>
      </c>
      <c r="J50" s="4">
        <v>76</v>
      </c>
      <c r="K50" s="4">
        <v>126</v>
      </c>
      <c r="L50" s="4">
        <v>547</v>
      </c>
      <c r="M50" s="5">
        <v>56.8</v>
      </c>
      <c r="N50" s="5">
        <v>8.6</v>
      </c>
      <c r="O50" s="5">
        <v>2.9</v>
      </c>
      <c r="P50" s="5">
        <v>4.4000000000000004</v>
      </c>
      <c r="Q50" s="4">
        <v>141</v>
      </c>
      <c r="R50" s="5">
        <v>147.9</v>
      </c>
      <c r="S50" s="6">
        <v>3.84</v>
      </c>
      <c r="T50" s="5">
        <v>111</v>
      </c>
      <c r="U50" s="5">
        <v>12.5</v>
      </c>
      <c r="V50" s="6">
        <v>1.34</v>
      </c>
    </row>
    <row r="51" spans="1:22" x14ac:dyDescent="0.25">
      <c r="A51" s="4">
        <v>1976</v>
      </c>
      <c r="B51" s="4" t="s">
        <v>22</v>
      </c>
      <c r="C51" s="4">
        <v>16</v>
      </c>
      <c r="D51" s="4" t="s">
        <v>21</v>
      </c>
      <c r="E51" s="4">
        <v>17</v>
      </c>
      <c r="F51" s="5">
        <v>2.6</v>
      </c>
      <c r="G51" s="4">
        <v>31</v>
      </c>
      <c r="H51" s="4">
        <v>23</v>
      </c>
      <c r="I51" s="5">
        <v>9.1</v>
      </c>
      <c r="J51" s="4">
        <v>63</v>
      </c>
      <c r="K51" s="4">
        <v>375</v>
      </c>
      <c r="L51" s="4">
        <v>221</v>
      </c>
      <c r="M51" s="5">
        <v>47.5</v>
      </c>
      <c r="N51" s="5">
        <v>9.1999999999999993</v>
      </c>
      <c r="O51" s="5">
        <v>3.2</v>
      </c>
      <c r="P51" s="5">
        <v>4.5</v>
      </c>
      <c r="Q51" s="4">
        <v>165</v>
      </c>
      <c r="R51" s="5">
        <v>153.19999999999999</v>
      </c>
      <c r="S51" s="6">
        <v>3.87</v>
      </c>
      <c r="T51" s="5">
        <v>114.6</v>
      </c>
      <c r="U51" s="5">
        <v>15.3</v>
      </c>
      <c r="V51" s="6">
        <v>1.41</v>
      </c>
    </row>
    <row r="52" spans="1:22" x14ac:dyDescent="0.25">
      <c r="A52" s="4">
        <v>1976</v>
      </c>
      <c r="B52" s="4" t="s">
        <v>22</v>
      </c>
      <c r="C52" s="4">
        <v>16</v>
      </c>
      <c r="D52" s="4" t="s">
        <v>21</v>
      </c>
      <c r="E52" s="4">
        <v>18</v>
      </c>
      <c r="F52" s="5">
        <v>2.5</v>
      </c>
      <c r="G52" s="4">
        <v>39</v>
      </c>
      <c r="H52" s="4">
        <v>24</v>
      </c>
      <c r="I52" s="5">
        <v>8.9</v>
      </c>
      <c r="J52" s="4">
        <v>65</v>
      </c>
      <c r="K52" s="4">
        <v>189</v>
      </c>
      <c r="L52" s="4">
        <v>222</v>
      </c>
      <c r="M52" s="5">
        <v>53.6</v>
      </c>
      <c r="N52" s="5">
        <v>9</v>
      </c>
      <c r="O52" s="5">
        <v>4.4000000000000004</v>
      </c>
      <c r="P52" s="5">
        <v>4.3</v>
      </c>
      <c r="Q52" s="4">
        <v>87</v>
      </c>
      <c r="R52" s="5">
        <v>151.69999999999999</v>
      </c>
      <c r="S52" s="6">
        <v>4.1500000000000004</v>
      </c>
      <c r="T52" s="5">
        <v>115</v>
      </c>
      <c r="U52" s="5">
        <v>15.2</v>
      </c>
      <c r="V52" s="6">
        <v>0.68</v>
      </c>
    </row>
    <row r="53" spans="1:22" x14ac:dyDescent="0.25">
      <c r="A53" s="4">
        <v>1976</v>
      </c>
      <c r="B53" s="4" t="s">
        <v>22</v>
      </c>
      <c r="C53" s="4">
        <v>16</v>
      </c>
      <c r="D53" s="4" t="s">
        <v>21</v>
      </c>
      <c r="E53" s="4">
        <v>19</v>
      </c>
      <c r="F53" s="5">
        <v>2.8</v>
      </c>
      <c r="G53" s="4">
        <v>45</v>
      </c>
      <c r="H53" s="4">
        <v>18</v>
      </c>
      <c r="I53" s="5">
        <v>9.1</v>
      </c>
      <c r="J53" s="4">
        <v>81</v>
      </c>
      <c r="K53" s="4">
        <v>57</v>
      </c>
      <c r="L53" s="4">
        <v>272</v>
      </c>
      <c r="M53" s="5">
        <v>64.599999999999994</v>
      </c>
      <c r="N53" s="5">
        <v>7.4</v>
      </c>
      <c r="O53" s="5">
        <v>5.5</v>
      </c>
      <c r="P53" s="5">
        <v>4.9000000000000004</v>
      </c>
      <c r="Q53" s="4">
        <v>92</v>
      </c>
      <c r="R53" s="5">
        <v>149.69999999999999</v>
      </c>
      <c r="S53" s="6">
        <v>4.78</v>
      </c>
      <c r="T53" s="5">
        <v>115.5</v>
      </c>
      <c r="U53" s="5">
        <v>13.3</v>
      </c>
      <c r="V53" s="6">
        <v>0.98</v>
      </c>
    </row>
    <row r="54" spans="1:22" x14ac:dyDescent="0.25">
      <c r="A54" s="4">
        <v>1976</v>
      </c>
      <c r="B54" s="4" t="s">
        <v>23</v>
      </c>
      <c r="C54" s="4">
        <v>16</v>
      </c>
      <c r="D54" s="4" t="s">
        <v>24</v>
      </c>
      <c r="E54" s="4">
        <v>1</v>
      </c>
      <c r="F54" s="5">
        <v>2.6</v>
      </c>
      <c r="G54" s="4">
        <v>23</v>
      </c>
      <c r="H54" s="4">
        <v>28</v>
      </c>
      <c r="I54" s="5">
        <v>8.6999999999999993</v>
      </c>
      <c r="J54" s="4">
        <v>92</v>
      </c>
      <c r="K54" s="4">
        <v>443</v>
      </c>
      <c r="L54" s="4">
        <v>212</v>
      </c>
      <c r="M54" s="5">
        <v>75.5</v>
      </c>
      <c r="N54" s="5">
        <v>6</v>
      </c>
      <c r="O54" s="5">
        <v>5.7</v>
      </c>
      <c r="P54" s="5">
        <v>4.9000000000000004</v>
      </c>
      <c r="Q54" s="4">
        <v>131</v>
      </c>
      <c r="R54" s="5">
        <v>149.1</v>
      </c>
      <c r="S54" s="6">
        <v>4.3600000000000003</v>
      </c>
      <c r="T54" s="5">
        <v>110.4</v>
      </c>
      <c r="U54" s="5">
        <v>17.600000000000001</v>
      </c>
      <c r="V54" s="6">
        <v>0.72</v>
      </c>
    </row>
    <row r="55" spans="1:22" x14ac:dyDescent="0.25">
      <c r="A55" s="4">
        <v>1976</v>
      </c>
      <c r="B55" s="4" t="s">
        <v>23</v>
      </c>
      <c r="C55" s="4">
        <v>16</v>
      </c>
      <c r="D55" s="4" t="s">
        <v>24</v>
      </c>
      <c r="E55" s="4">
        <v>2</v>
      </c>
      <c r="F55" s="5">
        <v>2.5</v>
      </c>
      <c r="G55" s="4">
        <v>27</v>
      </c>
      <c r="H55" s="4">
        <v>28</v>
      </c>
      <c r="I55" s="5">
        <v>8.9</v>
      </c>
      <c r="J55" s="4">
        <v>77</v>
      </c>
      <c r="K55" s="4">
        <v>66</v>
      </c>
      <c r="L55" s="4">
        <v>242</v>
      </c>
      <c r="M55" s="5">
        <v>65.599999999999994</v>
      </c>
      <c r="N55" s="5">
        <v>6.9</v>
      </c>
      <c r="O55" s="5">
        <v>4.9000000000000004</v>
      </c>
      <c r="P55" s="5">
        <v>4.8</v>
      </c>
      <c r="Q55" s="4">
        <v>140</v>
      </c>
      <c r="R55" s="5">
        <v>149.5</v>
      </c>
      <c r="S55" s="6">
        <v>4.68</v>
      </c>
      <c r="T55" s="5">
        <v>108.9</v>
      </c>
      <c r="U55" s="5">
        <v>20.9</v>
      </c>
      <c r="V55" s="6">
        <v>0.73</v>
      </c>
    </row>
    <row r="56" spans="1:22" x14ac:dyDescent="0.25">
      <c r="A56" s="4">
        <v>1976</v>
      </c>
      <c r="B56" s="4" t="s">
        <v>23</v>
      </c>
      <c r="C56" s="4">
        <v>16</v>
      </c>
      <c r="D56" s="4" t="s">
        <v>24</v>
      </c>
      <c r="E56" s="4">
        <v>3</v>
      </c>
      <c r="F56" s="5">
        <v>2.5</v>
      </c>
      <c r="G56" s="4">
        <v>27</v>
      </c>
      <c r="H56" s="4">
        <v>28</v>
      </c>
      <c r="I56" s="5">
        <v>8.6999999999999993</v>
      </c>
      <c r="J56" s="4">
        <v>87</v>
      </c>
      <c r="K56" s="4">
        <v>826</v>
      </c>
      <c r="L56" s="4">
        <v>220</v>
      </c>
      <c r="M56" s="5">
        <v>71.2</v>
      </c>
      <c r="N56" s="5">
        <v>7.6</v>
      </c>
      <c r="O56" s="5">
        <v>5.4</v>
      </c>
      <c r="P56" s="5">
        <v>4.7</v>
      </c>
      <c r="Q56" s="4">
        <v>182</v>
      </c>
      <c r="R56" s="5">
        <v>150.80000000000001</v>
      </c>
      <c r="S56" s="6">
        <v>4.4000000000000004</v>
      </c>
      <c r="T56" s="5">
        <v>112.6</v>
      </c>
      <c r="U56" s="5">
        <v>18.399999999999999</v>
      </c>
      <c r="V56" s="6">
        <v>0.84</v>
      </c>
    </row>
    <row r="57" spans="1:22" x14ac:dyDescent="0.25">
      <c r="A57" s="4">
        <v>1976</v>
      </c>
      <c r="B57" s="4" t="s">
        <v>23</v>
      </c>
      <c r="C57" s="4">
        <v>16</v>
      </c>
      <c r="D57" s="4" t="s">
        <v>24</v>
      </c>
      <c r="E57" s="4">
        <v>4</v>
      </c>
      <c r="F57" s="5">
        <v>2.5</v>
      </c>
      <c r="G57" s="4">
        <v>24</v>
      </c>
      <c r="H57" s="4">
        <v>27</v>
      </c>
      <c r="I57" s="5">
        <v>8.6999999999999993</v>
      </c>
      <c r="J57" s="4">
        <v>87</v>
      </c>
      <c r="K57" s="4">
        <v>251</v>
      </c>
      <c r="L57" s="4">
        <v>199</v>
      </c>
      <c r="M57" s="5">
        <v>73.900000000000006</v>
      </c>
      <c r="N57" s="5">
        <v>7</v>
      </c>
      <c r="O57" s="5">
        <v>4.8</v>
      </c>
      <c r="P57" s="5">
        <v>4.7</v>
      </c>
      <c r="Q57" s="4">
        <v>145</v>
      </c>
      <c r="R57" s="5">
        <v>151.69999999999999</v>
      </c>
      <c r="S57" s="6">
        <v>4.37</v>
      </c>
      <c r="T57" s="5">
        <v>111.9</v>
      </c>
      <c r="U57" s="5">
        <v>20.5</v>
      </c>
      <c r="V57" s="6">
        <v>0.63</v>
      </c>
    </row>
    <row r="58" spans="1:22" x14ac:dyDescent="0.25">
      <c r="A58" s="4">
        <v>1976</v>
      </c>
      <c r="B58" s="4" t="s">
        <v>23</v>
      </c>
      <c r="C58" s="4">
        <v>16</v>
      </c>
      <c r="D58" s="4" t="s">
        <v>24</v>
      </c>
      <c r="E58" s="4">
        <v>5</v>
      </c>
      <c r="F58" s="5">
        <v>2.5</v>
      </c>
      <c r="H58" s="4">
        <v>31</v>
      </c>
      <c r="I58" s="5">
        <v>8.9</v>
      </c>
      <c r="J58" s="4">
        <v>78</v>
      </c>
      <c r="L58" s="4">
        <v>172</v>
      </c>
      <c r="M58" s="5"/>
      <c r="N58" s="5">
        <v>9.1</v>
      </c>
      <c r="O58" s="5">
        <v>4.5</v>
      </c>
      <c r="P58" s="5">
        <v>4.7</v>
      </c>
      <c r="R58" s="5">
        <v>151.4</v>
      </c>
      <c r="S58" s="6">
        <v>4.9400000000000004</v>
      </c>
      <c r="T58" s="5">
        <v>111.2</v>
      </c>
      <c r="U58" s="5">
        <v>16</v>
      </c>
      <c r="V58" s="6"/>
    </row>
    <row r="59" spans="1:22" x14ac:dyDescent="0.25">
      <c r="A59" s="4">
        <v>1976</v>
      </c>
      <c r="B59" s="4" t="s">
        <v>23</v>
      </c>
      <c r="C59" s="4">
        <v>16</v>
      </c>
      <c r="D59" s="4" t="s">
        <v>24</v>
      </c>
      <c r="E59" s="4">
        <v>6</v>
      </c>
      <c r="F59" s="5">
        <v>2.5</v>
      </c>
      <c r="G59" s="4">
        <v>22</v>
      </c>
      <c r="H59" s="4">
        <v>30</v>
      </c>
      <c r="I59" s="5">
        <v>8.4</v>
      </c>
      <c r="J59" s="4">
        <v>82</v>
      </c>
      <c r="K59" s="4">
        <v>230</v>
      </c>
      <c r="L59" s="4">
        <v>147</v>
      </c>
      <c r="M59" s="5">
        <v>66.8</v>
      </c>
      <c r="N59" s="5">
        <v>5.7</v>
      </c>
      <c r="O59" s="5">
        <v>5.4</v>
      </c>
      <c r="P59" s="5">
        <v>4.5999999999999996</v>
      </c>
      <c r="Q59" s="4">
        <v>198</v>
      </c>
      <c r="R59" s="5">
        <v>151.69999999999999</v>
      </c>
      <c r="S59" s="6">
        <v>5.0199999999999996</v>
      </c>
      <c r="T59" s="5">
        <v>113.3</v>
      </c>
      <c r="U59" s="5">
        <v>18.899999999999999</v>
      </c>
      <c r="V59" s="6">
        <v>0.79</v>
      </c>
    </row>
    <row r="60" spans="1:22" x14ac:dyDescent="0.25">
      <c r="A60" s="4">
        <v>1976</v>
      </c>
      <c r="B60" s="4" t="s">
        <v>23</v>
      </c>
      <c r="C60" s="4">
        <v>16</v>
      </c>
      <c r="D60" s="4" t="s">
        <v>24</v>
      </c>
      <c r="E60" s="4">
        <v>7</v>
      </c>
      <c r="F60" s="5">
        <v>2.5</v>
      </c>
      <c r="G60" s="4">
        <v>31</v>
      </c>
      <c r="H60" s="4">
        <v>26</v>
      </c>
      <c r="I60" s="5">
        <v>8.8000000000000007</v>
      </c>
      <c r="J60" s="4">
        <v>84</v>
      </c>
      <c r="K60" s="4">
        <v>542</v>
      </c>
      <c r="L60" s="4">
        <v>206</v>
      </c>
      <c r="M60" s="5">
        <v>69</v>
      </c>
      <c r="N60" s="5">
        <v>7.8</v>
      </c>
      <c r="O60" s="5">
        <v>4.0999999999999996</v>
      </c>
      <c r="P60" s="5">
        <v>4.7</v>
      </c>
      <c r="Q60" s="4">
        <v>105</v>
      </c>
      <c r="R60" s="5">
        <v>151.80000000000001</v>
      </c>
      <c r="S60" s="6">
        <v>4.4000000000000004</v>
      </c>
      <c r="T60" s="5">
        <v>113.3</v>
      </c>
      <c r="U60" s="5">
        <v>19</v>
      </c>
      <c r="V60" s="6">
        <v>0.63</v>
      </c>
    </row>
    <row r="61" spans="1:22" x14ac:dyDescent="0.25">
      <c r="A61" s="4">
        <v>1976</v>
      </c>
      <c r="B61" s="4" t="s">
        <v>23</v>
      </c>
      <c r="C61" s="4">
        <v>16</v>
      </c>
      <c r="D61" s="4" t="s">
        <v>24</v>
      </c>
      <c r="E61" s="4">
        <v>8</v>
      </c>
      <c r="F61" s="5">
        <v>2.6</v>
      </c>
      <c r="G61" s="4">
        <v>22</v>
      </c>
      <c r="H61" s="4">
        <v>29</v>
      </c>
      <c r="I61" s="5">
        <v>8.6</v>
      </c>
      <c r="J61" s="4">
        <v>95</v>
      </c>
      <c r="K61" s="4">
        <v>193</v>
      </c>
      <c r="L61" s="4">
        <v>150</v>
      </c>
      <c r="M61" s="5">
        <v>74</v>
      </c>
      <c r="N61" s="5">
        <v>6.2</v>
      </c>
      <c r="O61" s="5">
        <v>5.0999999999999996</v>
      </c>
      <c r="P61" s="5">
        <v>4.8</v>
      </c>
      <c r="Q61" s="4">
        <v>204</v>
      </c>
      <c r="R61" s="5">
        <v>149.9</v>
      </c>
      <c r="S61" s="6">
        <v>5.87</v>
      </c>
      <c r="T61" s="5">
        <v>112.6</v>
      </c>
      <c r="U61" s="5">
        <v>20</v>
      </c>
      <c r="V61" s="6">
        <v>0.92</v>
      </c>
    </row>
    <row r="62" spans="1:22" x14ac:dyDescent="0.25">
      <c r="A62" s="4">
        <v>1976</v>
      </c>
      <c r="B62" s="4" t="s">
        <v>23</v>
      </c>
      <c r="C62" s="4">
        <v>16</v>
      </c>
      <c r="D62" s="4" t="s">
        <v>24</v>
      </c>
      <c r="E62" s="4">
        <v>9</v>
      </c>
      <c r="F62" s="5">
        <v>2.4</v>
      </c>
      <c r="G62" s="4">
        <v>23</v>
      </c>
      <c r="H62" s="4">
        <v>25</v>
      </c>
      <c r="I62" s="5">
        <v>9</v>
      </c>
      <c r="J62" s="4">
        <v>91</v>
      </c>
      <c r="K62" s="4">
        <v>189</v>
      </c>
      <c r="L62" s="4">
        <v>314</v>
      </c>
      <c r="M62" s="5">
        <v>76.900000000000006</v>
      </c>
      <c r="N62" s="5">
        <v>7.2</v>
      </c>
      <c r="O62" s="5">
        <v>4.2</v>
      </c>
      <c r="P62" s="5">
        <v>4.5</v>
      </c>
      <c r="Q62" s="4">
        <v>153</v>
      </c>
      <c r="R62" s="5">
        <v>146.80000000000001</v>
      </c>
      <c r="S62" s="6">
        <v>4.6500000000000004</v>
      </c>
      <c r="T62" s="5">
        <v>109.5</v>
      </c>
      <c r="U62" s="5"/>
      <c r="V62" s="6">
        <v>0.61</v>
      </c>
    </row>
    <row r="63" spans="1:22" x14ac:dyDescent="0.25">
      <c r="A63" s="4">
        <v>1976</v>
      </c>
      <c r="B63" s="4" t="s">
        <v>23</v>
      </c>
      <c r="C63" s="4">
        <v>16</v>
      </c>
      <c r="D63" s="4" t="s">
        <v>21</v>
      </c>
      <c r="E63" s="4">
        <v>10</v>
      </c>
      <c r="F63" s="5">
        <v>2.6</v>
      </c>
      <c r="G63" s="4">
        <v>23</v>
      </c>
      <c r="H63" s="4">
        <v>26</v>
      </c>
      <c r="I63" s="5">
        <v>9.1999999999999993</v>
      </c>
      <c r="J63" s="4">
        <v>95</v>
      </c>
      <c r="K63" s="4">
        <v>53</v>
      </c>
      <c r="L63" s="4">
        <v>216</v>
      </c>
      <c r="M63" s="5">
        <v>77.400000000000006</v>
      </c>
      <c r="N63" s="5">
        <v>6.1</v>
      </c>
      <c r="O63" s="5">
        <v>4.5</v>
      </c>
      <c r="P63" s="5">
        <v>4.7</v>
      </c>
      <c r="Q63" s="4">
        <v>122</v>
      </c>
      <c r="R63" s="5">
        <v>151.69999999999999</v>
      </c>
      <c r="S63" s="6">
        <v>4.7300000000000004</v>
      </c>
      <c r="T63" s="5">
        <v>112.6</v>
      </c>
      <c r="U63" s="5">
        <v>19.2</v>
      </c>
      <c r="V63" s="6">
        <v>0.91</v>
      </c>
    </row>
    <row r="64" spans="1:22" x14ac:dyDescent="0.25">
      <c r="A64" s="4">
        <v>1976</v>
      </c>
      <c r="B64" s="4" t="s">
        <v>23</v>
      </c>
      <c r="C64" s="4">
        <v>16</v>
      </c>
      <c r="D64" s="4" t="s">
        <v>21</v>
      </c>
      <c r="E64" s="4">
        <v>11</v>
      </c>
      <c r="F64" s="5">
        <v>2.5</v>
      </c>
      <c r="G64" s="4">
        <v>30</v>
      </c>
      <c r="H64" s="4">
        <v>28</v>
      </c>
      <c r="I64" s="5">
        <v>8.9</v>
      </c>
      <c r="J64" s="4">
        <v>74</v>
      </c>
      <c r="K64" s="4">
        <v>224</v>
      </c>
      <c r="L64" s="4">
        <v>247</v>
      </c>
      <c r="M64" s="5">
        <v>60.3</v>
      </c>
      <c r="N64" s="5">
        <v>6.5</v>
      </c>
      <c r="O64" s="5">
        <v>5</v>
      </c>
      <c r="P64" s="5">
        <v>4.5</v>
      </c>
      <c r="Q64" s="4">
        <v>146</v>
      </c>
      <c r="R64" s="5">
        <v>150.4</v>
      </c>
      <c r="S64" s="6">
        <v>4.88</v>
      </c>
      <c r="T64" s="5">
        <v>114</v>
      </c>
      <c r="U64" s="5">
        <v>17.5</v>
      </c>
      <c r="V64" s="6">
        <v>1.1000000000000001</v>
      </c>
    </row>
    <row r="65" spans="1:22" x14ac:dyDescent="0.25">
      <c r="A65" s="4">
        <v>1976</v>
      </c>
      <c r="B65" s="4" t="s">
        <v>23</v>
      </c>
      <c r="C65" s="4">
        <v>16</v>
      </c>
      <c r="D65" s="4" t="s">
        <v>21</v>
      </c>
      <c r="E65" s="4">
        <v>12</v>
      </c>
      <c r="F65" s="5">
        <v>2.4</v>
      </c>
      <c r="G65" s="4">
        <v>26</v>
      </c>
      <c r="H65" s="4">
        <v>25</v>
      </c>
      <c r="I65" s="5">
        <v>9</v>
      </c>
      <c r="J65" s="4">
        <v>85</v>
      </c>
      <c r="K65" s="4">
        <v>104</v>
      </c>
      <c r="L65" s="4">
        <v>266</v>
      </c>
      <c r="M65" s="5">
        <v>72.900000000000006</v>
      </c>
      <c r="N65" s="5">
        <v>9.3000000000000007</v>
      </c>
      <c r="O65" s="5">
        <v>4.9000000000000004</v>
      </c>
      <c r="P65" s="5">
        <v>4.5999999999999996</v>
      </c>
      <c r="Q65" s="4">
        <v>125</v>
      </c>
      <c r="R65" s="5">
        <v>152.69999999999999</v>
      </c>
      <c r="S65" s="6">
        <v>3.25</v>
      </c>
      <c r="T65" s="5">
        <v>113.3</v>
      </c>
      <c r="U65" s="5">
        <v>17.399999999999999</v>
      </c>
      <c r="V65" s="6">
        <v>0.94</v>
      </c>
    </row>
    <row r="66" spans="1:22" x14ac:dyDescent="0.25">
      <c r="A66" s="4">
        <v>1976</v>
      </c>
      <c r="B66" s="4" t="s">
        <v>23</v>
      </c>
      <c r="C66" s="4">
        <v>16</v>
      </c>
      <c r="D66" s="4" t="s">
        <v>21</v>
      </c>
      <c r="E66" s="4">
        <v>13</v>
      </c>
      <c r="F66" s="5">
        <v>2.6</v>
      </c>
      <c r="H66" s="4">
        <v>26</v>
      </c>
      <c r="I66" s="5">
        <v>8.9</v>
      </c>
      <c r="J66" s="4">
        <v>80</v>
      </c>
      <c r="L66" s="4">
        <v>227</v>
      </c>
      <c r="M66" s="5"/>
      <c r="N66" s="5">
        <v>8</v>
      </c>
      <c r="O66" s="5">
        <v>4.3</v>
      </c>
      <c r="P66" s="5">
        <v>4.8</v>
      </c>
      <c r="R66" s="5">
        <v>152.80000000000001</v>
      </c>
      <c r="S66" s="6">
        <v>4.54</v>
      </c>
      <c r="T66" s="5">
        <v>114.6</v>
      </c>
      <c r="U66" s="5">
        <v>15.3</v>
      </c>
      <c r="V66" s="6"/>
    </row>
    <row r="67" spans="1:22" x14ac:dyDescent="0.25">
      <c r="A67" s="4">
        <v>1976</v>
      </c>
      <c r="B67" s="4" t="s">
        <v>23</v>
      </c>
      <c r="C67" s="4">
        <v>16</v>
      </c>
      <c r="D67" s="4" t="s">
        <v>21</v>
      </c>
      <c r="E67" s="4">
        <v>14</v>
      </c>
      <c r="F67" s="5">
        <v>2.5</v>
      </c>
      <c r="G67" s="4">
        <v>29</v>
      </c>
      <c r="H67" s="4">
        <v>23</v>
      </c>
      <c r="I67" s="5">
        <v>8.8000000000000007</v>
      </c>
      <c r="J67" s="4">
        <v>87</v>
      </c>
      <c r="K67" s="4">
        <v>75</v>
      </c>
      <c r="L67" s="4">
        <v>217</v>
      </c>
      <c r="M67" s="5">
        <v>69.400000000000006</v>
      </c>
      <c r="N67" s="5">
        <v>6.7</v>
      </c>
      <c r="O67" s="5">
        <v>4.0999999999999996</v>
      </c>
      <c r="P67" s="5">
        <v>4.5999999999999996</v>
      </c>
      <c r="Q67" s="4">
        <v>141</v>
      </c>
      <c r="R67" s="5">
        <v>151.80000000000001</v>
      </c>
      <c r="S67" s="6">
        <v>4.16</v>
      </c>
      <c r="T67" s="5">
        <v>115.8</v>
      </c>
      <c r="U67" s="5">
        <v>14.3</v>
      </c>
      <c r="V67" s="6">
        <v>0.84</v>
      </c>
    </row>
    <row r="68" spans="1:22" x14ac:dyDescent="0.25">
      <c r="A68" s="4">
        <v>1976</v>
      </c>
      <c r="B68" s="4" t="s">
        <v>23</v>
      </c>
      <c r="C68" s="4">
        <v>16</v>
      </c>
      <c r="D68" s="4" t="s">
        <v>21</v>
      </c>
      <c r="E68" s="4">
        <v>15</v>
      </c>
      <c r="F68" s="5">
        <v>2.5</v>
      </c>
      <c r="G68" s="4">
        <v>32</v>
      </c>
      <c r="H68" s="4">
        <v>22</v>
      </c>
      <c r="I68" s="5">
        <v>9.1</v>
      </c>
      <c r="J68" s="4">
        <v>89</v>
      </c>
      <c r="K68" s="4">
        <v>106</v>
      </c>
      <c r="L68" s="4">
        <v>218</v>
      </c>
      <c r="M68" s="5">
        <v>73.5</v>
      </c>
      <c r="N68" s="5">
        <v>6.2</v>
      </c>
      <c r="O68" s="5">
        <v>5.0999999999999996</v>
      </c>
      <c r="P68" s="5">
        <v>4.8</v>
      </c>
      <c r="Q68" s="4">
        <v>139</v>
      </c>
      <c r="R68" s="5">
        <v>151.9</v>
      </c>
      <c r="S68" s="6">
        <v>4.7699999999999996</v>
      </c>
      <c r="T68" s="5">
        <v>112.7</v>
      </c>
      <c r="U68" s="5">
        <v>19.7</v>
      </c>
      <c r="V68" s="6">
        <v>0.77</v>
      </c>
    </row>
    <row r="69" spans="1:22" x14ac:dyDescent="0.25">
      <c r="A69" s="4">
        <v>1976</v>
      </c>
      <c r="B69" s="4" t="s">
        <v>23</v>
      </c>
      <c r="C69" s="4">
        <v>16</v>
      </c>
      <c r="D69" s="4" t="s">
        <v>21</v>
      </c>
      <c r="E69" s="4">
        <v>16</v>
      </c>
      <c r="F69" s="5">
        <v>2.5</v>
      </c>
      <c r="G69" s="4">
        <v>26</v>
      </c>
      <c r="H69" s="4">
        <v>22</v>
      </c>
      <c r="I69" s="5">
        <v>8.8000000000000007</v>
      </c>
      <c r="J69" s="4">
        <v>81</v>
      </c>
      <c r="K69" s="4">
        <v>131</v>
      </c>
      <c r="L69" s="4">
        <v>207</v>
      </c>
      <c r="M69" s="5">
        <v>66.099999999999994</v>
      </c>
      <c r="N69" s="5">
        <v>5.5</v>
      </c>
      <c r="O69" s="5">
        <v>4</v>
      </c>
      <c r="P69" s="5">
        <v>4.5999999999999996</v>
      </c>
      <c r="Q69" s="4">
        <v>99</v>
      </c>
      <c r="R69" s="5">
        <v>152.80000000000001</v>
      </c>
      <c r="S69" s="6">
        <v>4.42</v>
      </c>
      <c r="T69" s="5">
        <v>116.4</v>
      </c>
      <c r="U69" s="5">
        <v>15.3</v>
      </c>
      <c r="V69" s="6">
        <v>0.71</v>
      </c>
    </row>
    <row r="70" spans="1:22" x14ac:dyDescent="0.25">
      <c r="A70" s="4">
        <v>1976</v>
      </c>
      <c r="B70" s="4" t="s">
        <v>23</v>
      </c>
      <c r="C70" s="4">
        <v>16</v>
      </c>
      <c r="D70" s="4" t="s">
        <v>21</v>
      </c>
      <c r="E70" s="4">
        <v>17</v>
      </c>
      <c r="F70" s="5">
        <v>2.5</v>
      </c>
      <c r="G70" s="4">
        <v>32</v>
      </c>
      <c r="H70" s="4">
        <v>22</v>
      </c>
      <c r="I70" s="5">
        <v>8.8000000000000007</v>
      </c>
      <c r="J70" s="4">
        <v>84</v>
      </c>
      <c r="K70" s="4">
        <v>109</v>
      </c>
      <c r="L70" s="4">
        <v>219</v>
      </c>
      <c r="M70" s="5">
        <v>70.3</v>
      </c>
      <c r="N70" s="5">
        <v>5.7</v>
      </c>
      <c r="O70" s="5">
        <v>4.2</v>
      </c>
      <c r="P70" s="5">
        <v>4.5999999999999996</v>
      </c>
      <c r="Q70" s="4">
        <v>85</v>
      </c>
      <c r="R70" s="5">
        <v>152.4</v>
      </c>
      <c r="S70" s="6">
        <v>4.59</v>
      </c>
      <c r="T70" s="5">
        <v>115.2</v>
      </c>
      <c r="U70" s="5">
        <v>17.3</v>
      </c>
      <c r="V70" s="6">
        <v>0.62</v>
      </c>
    </row>
    <row r="71" spans="1:22" x14ac:dyDescent="0.25">
      <c r="A71" s="4">
        <v>1976</v>
      </c>
      <c r="B71" s="4" t="s">
        <v>23</v>
      </c>
      <c r="C71" s="4">
        <v>16</v>
      </c>
      <c r="D71" s="4" t="s">
        <v>21</v>
      </c>
      <c r="E71" s="4">
        <v>18</v>
      </c>
      <c r="F71" s="5">
        <v>2.7</v>
      </c>
      <c r="H71" s="4">
        <v>24</v>
      </c>
      <c r="I71" s="5">
        <v>8.9</v>
      </c>
      <c r="J71" s="4">
        <v>102</v>
      </c>
      <c r="L71" s="4">
        <v>249</v>
      </c>
      <c r="M71" s="5"/>
      <c r="N71" s="5">
        <v>6.8</v>
      </c>
      <c r="O71" s="5">
        <v>4.3</v>
      </c>
      <c r="P71" s="5">
        <v>4.9000000000000004</v>
      </c>
      <c r="R71" s="5"/>
      <c r="S71" s="6"/>
      <c r="T71" s="5"/>
      <c r="U71" s="5"/>
      <c r="V71" s="6"/>
    </row>
    <row r="72" spans="1:22" x14ac:dyDescent="0.25">
      <c r="A72" s="4">
        <v>1976</v>
      </c>
      <c r="B72" s="4" t="s">
        <v>23</v>
      </c>
      <c r="C72" s="4">
        <v>16</v>
      </c>
      <c r="D72" s="4" t="s">
        <v>21</v>
      </c>
      <c r="E72" s="4">
        <v>19</v>
      </c>
      <c r="F72" s="5">
        <v>2.6</v>
      </c>
      <c r="G72" s="4">
        <v>37</v>
      </c>
      <c r="H72" s="4">
        <v>23</v>
      </c>
      <c r="I72" s="5">
        <v>8.9</v>
      </c>
      <c r="J72" s="4">
        <v>89</v>
      </c>
      <c r="K72" s="4">
        <v>77</v>
      </c>
      <c r="L72" s="4">
        <v>295</v>
      </c>
      <c r="M72" s="5">
        <v>75.099999999999994</v>
      </c>
      <c r="N72" s="5">
        <v>6.7</v>
      </c>
      <c r="O72" s="5">
        <v>4</v>
      </c>
      <c r="P72" s="5">
        <v>4.7</v>
      </c>
      <c r="Q72" s="4">
        <v>97</v>
      </c>
      <c r="R72" s="5">
        <v>151.9</v>
      </c>
      <c r="S72" s="6">
        <v>4.1100000000000003</v>
      </c>
      <c r="T72" s="5">
        <v>113.9</v>
      </c>
      <c r="U72" s="5">
        <v>17.600000000000001</v>
      </c>
      <c r="V72" s="6">
        <v>0.73</v>
      </c>
    </row>
    <row r="73" spans="1:22" x14ac:dyDescent="0.25">
      <c r="A73" s="4">
        <v>1976</v>
      </c>
      <c r="B73" s="4" t="s">
        <v>22</v>
      </c>
      <c r="C73" s="4">
        <v>30</v>
      </c>
      <c r="D73" s="4" t="s">
        <v>21</v>
      </c>
      <c r="E73" s="4">
        <v>1</v>
      </c>
      <c r="F73" s="28">
        <v>2.7</v>
      </c>
      <c r="G73" s="27">
        <v>25</v>
      </c>
      <c r="H73" s="27">
        <v>25</v>
      </c>
      <c r="I73" s="5">
        <v>9.1</v>
      </c>
      <c r="J73" s="4">
        <v>88</v>
      </c>
      <c r="K73" s="27">
        <v>29</v>
      </c>
      <c r="L73" s="27">
        <v>366</v>
      </c>
      <c r="M73" s="28">
        <v>70.400000000000006</v>
      </c>
      <c r="N73" s="5">
        <v>8.6</v>
      </c>
      <c r="O73" s="5">
        <v>3.6</v>
      </c>
      <c r="P73" s="28">
        <v>4.9000000000000004</v>
      </c>
      <c r="Q73" s="4">
        <v>155</v>
      </c>
      <c r="R73" s="5">
        <v>149.9</v>
      </c>
      <c r="S73" s="6">
        <v>3.62</v>
      </c>
      <c r="T73" s="5">
        <v>114.1</v>
      </c>
      <c r="V73" s="6">
        <v>1.48</v>
      </c>
    </row>
    <row r="74" spans="1:22" x14ac:dyDescent="0.25">
      <c r="A74" s="4">
        <v>1976</v>
      </c>
      <c r="B74" s="4" t="s">
        <v>22</v>
      </c>
      <c r="C74" s="4">
        <v>30</v>
      </c>
      <c r="D74" s="4" t="s">
        <v>21</v>
      </c>
      <c r="E74" s="4">
        <v>2</v>
      </c>
      <c r="F74" s="28">
        <v>2.7</v>
      </c>
      <c r="G74" s="27">
        <v>19</v>
      </c>
      <c r="H74" s="27">
        <v>24</v>
      </c>
      <c r="I74" s="5">
        <v>8.9</v>
      </c>
      <c r="J74" s="4">
        <v>72</v>
      </c>
      <c r="K74" s="27">
        <v>70</v>
      </c>
      <c r="L74" s="27">
        <v>250</v>
      </c>
      <c r="M74" s="28">
        <v>59.3</v>
      </c>
      <c r="N74" s="5">
        <v>7.6</v>
      </c>
      <c r="O74" s="5">
        <v>4.8</v>
      </c>
      <c r="P74" s="28">
        <v>4.8</v>
      </c>
      <c r="Q74" s="4">
        <v>78</v>
      </c>
      <c r="R74" s="5">
        <v>152.5</v>
      </c>
      <c r="S74" s="6">
        <v>4.2300000000000004</v>
      </c>
      <c r="T74" s="5">
        <v>118</v>
      </c>
      <c r="V74" s="6">
        <v>0.99</v>
      </c>
    </row>
    <row r="75" spans="1:22" x14ac:dyDescent="0.25">
      <c r="A75" s="4">
        <v>1976</v>
      </c>
      <c r="B75" s="4" t="s">
        <v>22</v>
      </c>
      <c r="C75" s="4">
        <v>30</v>
      </c>
      <c r="D75" s="4" t="s">
        <v>21</v>
      </c>
      <c r="E75" s="4">
        <v>3</v>
      </c>
      <c r="F75" s="28">
        <v>2.7</v>
      </c>
      <c r="G75" s="27">
        <v>16</v>
      </c>
      <c r="H75" s="27">
        <v>25</v>
      </c>
      <c r="I75" s="5">
        <v>9.1</v>
      </c>
      <c r="J75" s="4">
        <v>87</v>
      </c>
      <c r="K75" s="27">
        <v>70</v>
      </c>
      <c r="L75" s="27">
        <v>369</v>
      </c>
      <c r="M75" s="28">
        <v>72.2</v>
      </c>
      <c r="N75" s="5">
        <v>6.9</v>
      </c>
      <c r="O75" s="5">
        <v>4.9000000000000004</v>
      </c>
      <c r="P75" s="28">
        <v>4.9000000000000004</v>
      </c>
      <c r="Q75" s="4">
        <v>97</v>
      </c>
      <c r="R75" s="5">
        <v>150</v>
      </c>
      <c r="S75" s="6">
        <v>4.26</v>
      </c>
      <c r="T75" s="5">
        <v>116.2</v>
      </c>
      <c r="V75" s="6">
        <v>0.9</v>
      </c>
    </row>
    <row r="76" spans="1:22" x14ac:dyDescent="0.25">
      <c r="A76" s="4">
        <v>1976</v>
      </c>
      <c r="B76" s="4" t="s">
        <v>22</v>
      </c>
      <c r="C76" s="4">
        <v>30</v>
      </c>
      <c r="D76" s="4" t="s">
        <v>21</v>
      </c>
      <c r="E76" s="4">
        <v>4</v>
      </c>
      <c r="F76" s="28">
        <v>2.7</v>
      </c>
      <c r="G76" s="27">
        <v>23</v>
      </c>
      <c r="H76" s="27">
        <v>23</v>
      </c>
      <c r="I76" s="5">
        <v>9.1999999999999993</v>
      </c>
      <c r="J76" s="4">
        <v>88</v>
      </c>
      <c r="K76" s="27">
        <v>32</v>
      </c>
      <c r="L76" s="27">
        <v>366</v>
      </c>
      <c r="M76" s="28">
        <v>76.099999999999994</v>
      </c>
      <c r="N76" s="5">
        <v>7.4</v>
      </c>
      <c r="O76" s="5">
        <v>4.5</v>
      </c>
      <c r="P76" s="28">
        <v>4.9000000000000004</v>
      </c>
      <c r="Q76" s="4">
        <v>83</v>
      </c>
      <c r="R76" s="5">
        <v>148.30000000000001</v>
      </c>
      <c r="S76" s="6">
        <v>4.3899999999999997</v>
      </c>
      <c r="T76" s="5">
        <v>117.5</v>
      </c>
      <c r="V76" s="6">
        <v>0.95</v>
      </c>
    </row>
    <row r="77" spans="1:22" x14ac:dyDescent="0.25">
      <c r="A77" s="4">
        <v>1976</v>
      </c>
      <c r="B77" s="4" t="s">
        <v>22</v>
      </c>
      <c r="C77" s="4">
        <v>30</v>
      </c>
      <c r="D77" s="4" t="s">
        <v>21</v>
      </c>
      <c r="E77" s="4">
        <v>5</v>
      </c>
      <c r="F77" s="28">
        <v>2.6</v>
      </c>
      <c r="G77" s="27">
        <v>19</v>
      </c>
      <c r="H77" s="27">
        <v>23</v>
      </c>
      <c r="I77" s="5">
        <v>9.1</v>
      </c>
      <c r="J77" s="4">
        <v>80</v>
      </c>
      <c r="K77" s="27">
        <v>30</v>
      </c>
      <c r="L77" s="27">
        <v>252</v>
      </c>
      <c r="M77" s="28">
        <v>65.5</v>
      </c>
      <c r="N77" s="5">
        <v>7.4</v>
      </c>
      <c r="O77" s="5">
        <v>4.5999999999999996</v>
      </c>
      <c r="P77" s="28">
        <v>4.9000000000000004</v>
      </c>
      <c r="Q77" s="4">
        <v>77</v>
      </c>
      <c r="R77" s="5">
        <v>151</v>
      </c>
      <c r="S77" s="6">
        <v>4.3499999999999996</v>
      </c>
      <c r="T77" s="5">
        <v>118.6</v>
      </c>
      <c r="V77" s="6">
        <v>0.96</v>
      </c>
    </row>
    <row r="78" spans="1:22" x14ac:dyDescent="0.25">
      <c r="A78" s="4">
        <v>1976</v>
      </c>
      <c r="B78" s="4" t="s">
        <v>22</v>
      </c>
      <c r="C78" s="4">
        <v>30</v>
      </c>
      <c r="D78" s="4" t="s">
        <v>24</v>
      </c>
      <c r="E78" s="4">
        <v>6</v>
      </c>
      <c r="F78" s="28">
        <v>2.6</v>
      </c>
      <c r="G78" s="27">
        <v>22</v>
      </c>
      <c r="H78" s="27">
        <v>20</v>
      </c>
      <c r="I78" s="5">
        <v>8.8000000000000007</v>
      </c>
      <c r="J78" s="4">
        <v>88</v>
      </c>
      <c r="K78" s="27">
        <v>117</v>
      </c>
      <c r="L78" s="27">
        <v>296</v>
      </c>
      <c r="M78" s="28">
        <v>67.3</v>
      </c>
      <c r="N78" s="5">
        <v>4.9000000000000004</v>
      </c>
      <c r="O78" s="5">
        <v>3.9</v>
      </c>
      <c r="P78" s="28">
        <v>4.9000000000000004</v>
      </c>
      <c r="Q78" s="4">
        <v>118</v>
      </c>
      <c r="R78" s="5">
        <v>145.5</v>
      </c>
      <c r="S78" s="6">
        <v>4.0999999999999996</v>
      </c>
      <c r="T78" s="5">
        <v>109.9</v>
      </c>
      <c r="V78" s="6">
        <v>0.52</v>
      </c>
    </row>
    <row r="79" spans="1:22" x14ac:dyDescent="0.25">
      <c r="A79" s="4">
        <v>1976</v>
      </c>
      <c r="B79" s="4" t="s">
        <v>22</v>
      </c>
      <c r="C79" s="4">
        <v>30</v>
      </c>
      <c r="D79" s="4" t="s">
        <v>24</v>
      </c>
      <c r="E79" s="4">
        <v>7</v>
      </c>
      <c r="F79" s="28">
        <v>2.5</v>
      </c>
      <c r="G79" s="27">
        <v>26</v>
      </c>
      <c r="H79" s="27">
        <v>32</v>
      </c>
      <c r="I79" s="5">
        <v>8.9</v>
      </c>
      <c r="J79" s="4">
        <v>75</v>
      </c>
      <c r="K79" s="27">
        <v>329</v>
      </c>
      <c r="L79" s="27">
        <v>318</v>
      </c>
      <c r="M79" s="28">
        <v>60.2</v>
      </c>
      <c r="N79" s="5">
        <v>5.6</v>
      </c>
      <c r="O79" s="5">
        <v>4</v>
      </c>
      <c r="P79" s="28">
        <v>4.5</v>
      </c>
      <c r="Q79" s="4">
        <v>162</v>
      </c>
      <c r="R79" s="5">
        <v>155.69999999999999</v>
      </c>
      <c r="S79" s="6">
        <v>5.18</v>
      </c>
      <c r="T79" s="5">
        <v>122</v>
      </c>
      <c r="V79" s="6">
        <v>0.6</v>
      </c>
    </row>
    <row r="80" spans="1:22" x14ac:dyDescent="0.25">
      <c r="A80" s="4">
        <v>1976</v>
      </c>
      <c r="B80" s="4" t="s">
        <v>22</v>
      </c>
      <c r="C80" s="4">
        <v>30</v>
      </c>
      <c r="D80" s="4" t="s">
        <v>24</v>
      </c>
      <c r="E80" s="4">
        <v>8</v>
      </c>
      <c r="F80" s="28">
        <v>2.6</v>
      </c>
      <c r="G80" s="27">
        <v>25</v>
      </c>
      <c r="H80" s="27">
        <v>20</v>
      </c>
      <c r="I80" s="5">
        <v>8.9</v>
      </c>
      <c r="J80" s="4">
        <v>87</v>
      </c>
      <c r="K80" s="27">
        <v>198</v>
      </c>
      <c r="L80" s="27">
        <v>177</v>
      </c>
      <c r="M80" s="28">
        <v>70.8</v>
      </c>
      <c r="N80" s="5">
        <v>6.4</v>
      </c>
      <c r="O80" s="5">
        <v>3.9</v>
      </c>
      <c r="P80" s="28">
        <v>4.8</v>
      </c>
      <c r="Q80" s="4">
        <v>133</v>
      </c>
      <c r="R80" s="5">
        <v>150.9</v>
      </c>
      <c r="S80" s="6">
        <v>5.65</v>
      </c>
      <c r="T80" s="5">
        <v>115.2</v>
      </c>
      <c r="V80" s="6">
        <v>0.51</v>
      </c>
    </row>
    <row r="81" spans="1:22" x14ac:dyDescent="0.25">
      <c r="A81" s="4">
        <v>1976</v>
      </c>
      <c r="B81" s="4" t="s">
        <v>22</v>
      </c>
      <c r="C81" s="4">
        <v>30</v>
      </c>
      <c r="D81" s="4" t="s">
        <v>24</v>
      </c>
      <c r="E81" s="4">
        <v>9</v>
      </c>
      <c r="F81" s="28">
        <v>2.5</v>
      </c>
      <c r="G81" s="27">
        <v>47</v>
      </c>
      <c r="H81" s="27">
        <v>27</v>
      </c>
      <c r="I81" s="5">
        <v>8.6999999999999993</v>
      </c>
      <c r="J81" s="4">
        <v>70</v>
      </c>
      <c r="K81" s="27">
        <v>813</v>
      </c>
      <c r="L81" s="27">
        <v>219</v>
      </c>
      <c r="M81" s="28">
        <v>54.4</v>
      </c>
      <c r="N81" s="5">
        <v>5.9</v>
      </c>
      <c r="O81" s="5">
        <v>2.6</v>
      </c>
      <c r="P81" s="28">
        <v>4.4000000000000004</v>
      </c>
      <c r="Q81" s="4">
        <v>151</v>
      </c>
      <c r="R81" s="5">
        <v>154.30000000000001</v>
      </c>
      <c r="S81" s="6">
        <v>4.68</v>
      </c>
      <c r="T81" s="5">
        <v>119.5</v>
      </c>
      <c r="V81" s="6">
        <v>0.53</v>
      </c>
    </row>
    <row r="82" spans="1:22" x14ac:dyDescent="0.25">
      <c r="A82" s="4">
        <v>1976</v>
      </c>
      <c r="B82" s="4" t="s">
        <v>22</v>
      </c>
      <c r="C82" s="4">
        <v>30</v>
      </c>
      <c r="D82" s="4" t="s">
        <v>24</v>
      </c>
      <c r="E82" s="4">
        <v>10</v>
      </c>
      <c r="F82" s="28">
        <v>2.2000000000000002</v>
      </c>
      <c r="G82" s="27"/>
      <c r="H82" s="27">
        <v>24</v>
      </c>
      <c r="I82" s="5">
        <v>8.4</v>
      </c>
      <c r="J82" s="4">
        <v>69</v>
      </c>
      <c r="K82" s="27"/>
      <c r="L82" s="27">
        <v>243</v>
      </c>
      <c r="M82" s="28"/>
      <c r="N82" s="5">
        <v>5.6</v>
      </c>
      <c r="O82" s="5">
        <v>3.4</v>
      </c>
      <c r="P82" s="28">
        <v>4.2</v>
      </c>
      <c r="R82" s="5">
        <v>148.9</v>
      </c>
      <c r="S82" s="6">
        <v>5.16</v>
      </c>
      <c r="T82" s="5">
        <v>117.3</v>
      </c>
      <c r="V82" s="6"/>
    </row>
    <row r="83" spans="1:22" x14ac:dyDescent="0.25">
      <c r="A83" s="4">
        <v>1976</v>
      </c>
      <c r="B83" s="4" t="s">
        <v>23</v>
      </c>
      <c r="C83" s="4">
        <v>30</v>
      </c>
      <c r="D83" s="4" t="s">
        <v>21</v>
      </c>
      <c r="E83" s="4">
        <v>1</v>
      </c>
      <c r="F83" s="28">
        <v>2.5</v>
      </c>
      <c r="G83" s="27">
        <v>26</v>
      </c>
      <c r="H83" s="27">
        <v>25</v>
      </c>
      <c r="I83" s="5">
        <v>8.6999999999999993</v>
      </c>
      <c r="J83" s="4">
        <v>93</v>
      </c>
      <c r="K83" s="27">
        <v>67</v>
      </c>
      <c r="L83" s="27">
        <v>290</v>
      </c>
      <c r="M83" s="28">
        <v>82.6</v>
      </c>
      <c r="N83" s="5">
        <v>4.7</v>
      </c>
      <c r="O83" s="5">
        <v>3.9</v>
      </c>
      <c r="P83" s="28">
        <v>4.7</v>
      </c>
      <c r="Q83" s="4">
        <v>78</v>
      </c>
      <c r="R83" s="5">
        <v>152.80000000000001</v>
      </c>
      <c r="S83" s="6">
        <v>4.12</v>
      </c>
      <c r="T83" s="5">
        <v>119.2</v>
      </c>
      <c r="V83" s="6">
        <v>1.0900000000000001</v>
      </c>
    </row>
    <row r="84" spans="1:22" x14ac:dyDescent="0.25">
      <c r="A84" s="4">
        <v>1976</v>
      </c>
      <c r="B84" s="4" t="s">
        <v>23</v>
      </c>
      <c r="C84" s="4">
        <v>30</v>
      </c>
      <c r="D84" s="4" t="s">
        <v>21</v>
      </c>
      <c r="E84" s="4">
        <v>2</v>
      </c>
      <c r="F84" s="28">
        <v>2.5</v>
      </c>
      <c r="G84" s="27">
        <v>16</v>
      </c>
      <c r="H84" s="27">
        <v>21</v>
      </c>
      <c r="I84" s="5">
        <v>9</v>
      </c>
      <c r="J84" s="4">
        <v>95</v>
      </c>
      <c r="K84" s="27">
        <v>23</v>
      </c>
      <c r="L84" s="27">
        <v>255</v>
      </c>
      <c r="M84" s="28">
        <v>79.900000000000006</v>
      </c>
      <c r="N84" s="5">
        <v>5.2</v>
      </c>
      <c r="O84" s="5">
        <v>4</v>
      </c>
      <c r="P84" s="28">
        <v>4.7</v>
      </c>
      <c r="Q84" s="4">
        <v>73</v>
      </c>
      <c r="R84" s="5">
        <v>153.1</v>
      </c>
      <c r="S84" s="6">
        <v>4.38</v>
      </c>
      <c r="T84" s="5">
        <v>119.3</v>
      </c>
      <c r="V84" s="6">
        <v>1.1200000000000001</v>
      </c>
    </row>
    <row r="85" spans="1:22" x14ac:dyDescent="0.25">
      <c r="A85" s="4">
        <v>1976</v>
      </c>
      <c r="B85" s="4" t="s">
        <v>23</v>
      </c>
      <c r="C85" s="4">
        <v>30</v>
      </c>
      <c r="D85" s="4" t="s">
        <v>21</v>
      </c>
      <c r="E85" s="4">
        <v>3</v>
      </c>
      <c r="F85" s="28">
        <v>2.5</v>
      </c>
      <c r="G85" s="27">
        <v>24</v>
      </c>
      <c r="H85" s="27">
        <v>21</v>
      </c>
      <c r="I85" s="5">
        <v>9</v>
      </c>
      <c r="J85" s="4">
        <v>93</v>
      </c>
      <c r="K85" s="27">
        <v>117</v>
      </c>
      <c r="L85" s="27">
        <v>269</v>
      </c>
      <c r="M85" s="28">
        <v>85.2</v>
      </c>
      <c r="N85" s="5">
        <v>8.4</v>
      </c>
      <c r="O85" s="5">
        <v>4.0999999999999996</v>
      </c>
      <c r="P85" s="28">
        <v>4.7</v>
      </c>
      <c r="Q85" s="4">
        <v>78</v>
      </c>
      <c r="R85" s="5">
        <v>153.6</v>
      </c>
      <c r="S85" s="6">
        <v>4.24</v>
      </c>
      <c r="T85" s="5">
        <v>114.6</v>
      </c>
      <c r="V85" s="6">
        <v>0.99</v>
      </c>
    </row>
    <row r="86" spans="1:22" x14ac:dyDescent="0.25">
      <c r="A86" s="4">
        <v>1976</v>
      </c>
      <c r="B86" s="4" t="s">
        <v>23</v>
      </c>
      <c r="C86" s="4">
        <v>30</v>
      </c>
      <c r="D86" s="4" t="s">
        <v>21</v>
      </c>
      <c r="E86" s="4">
        <v>4</v>
      </c>
      <c r="F86" s="28">
        <v>2.5</v>
      </c>
      <c r="G86" s="27">
        <v>19</v>
      </c>
      <c r="H86" s="27">
        <v>20</v>
      </c>
      <c r="I86" s="5">
        <v>9</v>
      </c>
      <c r="J86" s="4">
        <v>121</v>
      </c>
      <c r="K86" s="27">
        <v>270</v>
      </c>
      <c r="L86" s="27">
        <v>247</v>
      </c>
      <c r="M86" s="28">
        <v>103.5</v>
      </c>
      <c r="N86" s="5">
        <v>6.2</v>
      </c>
      <c r="O86" s="5">
        <v>4.0999999999999996</v>
      </c>
      <c r="P86" s="28">
        <v>5</v>
      </c>
      <c r="Q86" s="4">
        <v>95</v>
      </c>
      <c r="R86" s="5">
        <v>153.30000000000001</v>
      </c>
      <c r="S86" s="6">
        <v>4.83</v>
      </c>
      <c r="T86" s="5">
        <v>116.3</v>
      </c>
      <c r="V86" s="6">
        <v>0.92</v>
      </c>
    </row>
    <row r="87" spans="1:22" x14ac:dyDescent="0.25">
      <c r="A87" s="4">
        <v>1976</v>
      </c>
      <c r="B87" s="4" t="s">
        <v>23</v>
      </c>
      <c r="C87" s="4">
        <v>30</v>
      </c>
      <c r="D87" s="4" t="s">
        <v>21</v>
      </c>
      <c r="E87" s="4">
        <v>5</v>
      </c>
      <c r="F87" s="28">
        <v>2.5</v>
      </c>
      <c r="G87" s="27">
        <v>28</v>
      </c>
      <c r="H87" s="27">
        <v>24</v>
      </c>
      <c r="I87" s="5">
        <v>8.8000000000000007</v>
      </c>
      <c r="J87" s="4">
        <v>97</v>
      </c>
      <c r="K87" s="27">
        <v>92</v>
      </c>
      <c r="L87" s="27">
        <v>253</v>
      </c>
      <c r="M87" s="28">
        <v>85.8</v>
      </c>
      <c r="N87" s="5">
        <v>6.8</v>
      </c>
      <c r="O87" s="5">
        <v>3.9</v>
      </c>
      <c r="P87" s="28">
        <v>4.8</v>
      </c>
      <c r="Q87" s="4">
        <v>72</v>
      </c>
      <c r="R87" s="5">
        <v>153.9</v>
      </c>
      <c r="S87" s="6">
        <v>4.8099999999999996</v>
      </c>
      <c r="T87" s="5">
        <v>118.9</v>
      </c>
      <c r="V87" s="6">
        <v>0.91</v>
      </c>
    </row>
    <row r="88" spans="1:22" x14ac:dyDescent="0.25">
      <c r="A88" s="4">
        <v>1976</v>
      </c>
      <c r="B88" s="4" t="s">
        <v>23</v>
      </c>
      <c r="C88" s="4">
        <v>30</v>
      </c>
      <c r="D88" s="4" t="s">
        <v>21</v>
      </c>
      <c r="E88" s="4">
        <v>6</v>
      </c>
      <c r="F88" s="28">
        <v>2.4</v>
      </c>
      <c r="G88" s="27">
        <v>19</v>
      </c>
      <c r="H88" s="27">
        <v>24</v>
      </c>
      <c r="I88" s="5">
        <v>9.1</v>
      </c>
      <c r="J88" s="4">
        <v>101</v>
      </c>
      <c r="K88" s="27">
        <v>137</v>
      </c>
      <c r="L88" s="27">
        <v>264</v>
      </c>
      <c r="M88" s="28">
        <v>88.5</v>
      </c>
      <c r="N88" s="5">
        <v>7.4</v>
      </c>
      <c r="O88" s="5">
        <v>4</v>
      </c>
      <c r="P88" s="28">
        <v>4.7</v>
      </c>
      <c r="Q88" s="4">
        <v>47</v>
      </c>
      <c r="R88" s="5">
        <v>152.69999999999999</v>
      </c>
      <c r="S88" s="6">
        <v>4.92</v>
      </c>
      <c r="T88" s="5">
        <v>117.4</v>
      </c>
      <c r="V88" s="6">
        <v>0.65</v>
      </c>
    </row>
    <row r="89" spans="1:22" x14ac:dyDescent="0.25">
      <c r="A89" s="4">
        <v>1976</v>
      </c>
      <c r="B89" s="4" t="s">
        <v>23</v>
      </c>
      <c r="C89" s="4">
        <v>30</v>
      </c>
      <c r="D89" s="4" t="s">
        <v>21</v>
      </c>
      <c r="E89" s="4">
        <v>7</v>
      </c>
      <c r="F89" s="28">
        <v>2.5</v>
      </c>
      <c r="G89" s="27">
        <v>20</v>
      </c>
      <c r="H89" s="27">
        <v>19</v>
      </c>
      <c r="I89" s="5">
        <v>8.8000000000000007</v>
      </c>
      <c r="J89" s="4">
        <v>95</v>
      </c>
      <c r="K89" s="27">
        <v>112</v>
      </c>
      <c r="L89" s="27">
        <v>280</v>
      </c>
      <c r="M89" s="28">
        <v>84.2</v>
      </c>
      <c r="N89" s="5">
        <v>7.8</v>
      </c>
      <c r="O89" s="5">
        <v>3.8</v>
      </c>
      <c r="P89" s="28">
        <v>4.8</v>
      </c>
      <c r="Q89" s="4">
        <v>81</v>
      </c>
      <c r="R89" s="5">
        <v>150.4</v>
      </c>
      <c r="S89" s="6">
        <v>4.32</v>
      </c>
      <c r="T89" s="5">
        <v>117.4</v>
      </c>
      <c r="V89" s="6">
        <v>0.82</v>
      </c>
    </row>
    <row r="90" spans="1:22" x14ac:dyDescent="0.25">
      <c r="A90" s="4">
        <v>1976</v>
      </c>
      <c r="B90" s="4" t="s">
        <v>23</v>
      </c>
      <c r="C90" s="4">
        <v>30</v>
      </c>
      <c r="D90" s="4" t="s">
        <v>21</v>
      </c>
      <c r="E90" s="4">
        <v>8</v>
      </c>
      <c r="F90" s="28">
        <v>2.5</v>
      </c>
      <c r="G90" s="27"/>
      <c r="H90" s="27">
        <v>23</v>
      </c>
      <c r="I90" s="5">
        <v>9</v>
      </c>
      <c r="J90" s="4">
        <v>93</v>
      </c>
      <c r="K90" s="27"/>
      <c r="L90" s="27">
        <v>262</v>
      </c>
      <c r="M90" s="28"/>
      <c r="N90" s="5">
        <v>8.8000000000000007</v>
      </c>
      <c r="O90" s="5">
        <v>4.0999999999999996</v>
      </c>
      <c r="P90" s="28">
        <v>4.8</v>
      </c>
      <c r="R90" s="5"/>
      <c r="S90" s="6"/>
      <c r="T90" s="5"/>
      <c r="V90" s="6"/>
    </row>
    <row r="91" spans="1:22" x14ac:dyDescent="0.25">
      <c r="A91" s="4">
        <v>1976</v>
      </c>
      <c r="B91" s="4" t="s">
        <v>23</v>
      </c>
      <c r="C91" s="4">
        <v>30</v>
      </c>
      <c r="D91" s="4" t="s">
        <v>24</v>
      </c>
      <c r="E91" s="4">
        <v>9</v>
      </c>
      <c r="F91" s="28">
        <v>2.6</v>
      </c>
      <c r="G91" s="27">
        <v>22</v>
      </c>
      <c r="H91" s="27">
        <v>31</v>
      </c>
      <c r="I91" s="5">
        <v>9.6</v>
      </c>
      <c r="J91" s="4">
        <v>111</v>
      </c>
      <c r="K91" s="27">
        <v>254</v>
      </c>
      <c r="L91" s="27">
        <v>203</v>
      </c>
      <c r="M91" s="28">
        <v>93.7</v>
      </c>
      <c r="N91" s="5">
        <v>6.5</v>
      </c>
      <c r="O91" s="5">
        <v>4.3</v>
      </c>
      <c r="P91" s="28">
        <v>5.2</v>
      </c>
      <c r="Q91" s="4">
        <v>86</v>
      </c>
      <c r="R91" s="5">
        <v>163.19999999999999</v>
      </c>
      <c r="S91" s="6">
        <v>5.9</v>
      </c>
      <c r="T91" s="5">
        <v>123</v>
      </c>
      <c r="V91" s="6">
        <v>0.55000000000000004</v>
      </c>
    </row>
    <row r="92" spans="1:22" x14ac:dyDescent="0.25">
      <c r="A92" s="4">
        <v>1976</v>
      </c>
      <c r="B92" s="4" t="s">
        <v>23</v>
      </c>
      <c r="C92" s="4">
        <v>30</v>
      </c>
      <c r="D92" s="4" t="s">
        <v>24</v>
      </c>
      <c r="E92" s="4">
        <v>10</v>
      </c>
      <c r="F92" s="28">
        <v>2.5</v>
      </c>
      <c r="G92" s="27">
        <v>23</v>
      </c>
      <c r="H92" s="27">
        <v>23</v>
      </c>
      <c r="I92" s="5">
        <v>9.5</v>
      </c>
      <c r="J92" s="4">
        <v>85</v>
      </c>
      <c r="K92" s="27">
        <v>189</v>
      </c>
      <c r="L92" s="27">
        <v>227</v>
      </c>
      <c r="M92" s="28">
        <v>68.5</v>
      </c>
      <c r="N92" s="5">
        <v>4.5999999999999996</v>
      </c>
      <c r="O92" s="5">
        <v>4.3</v>
      </c>
      <c r="P92" s="28">
        <v>4.9000000000000004</v>
      </c>
      <c r="Q92" s="4">
        <v>157</v>
      </c>
      <c r="R92" s="5">
        <v>157.9</v>
      </c>
      <c r="S92" s="6">
        <v>6.04</v>
      </c>
      <c r="T92" s="5">
        <v>118.8</v>
      </c>
      <c r="V92" s="6">
        <v>0.64</v>
      </c>
    </row>
    <row r="93" spans="1:22" x14ac:dyDescent="0.25">
      <c r="A93" s="4">
        <v>1976</v>
      </c>
      <c r="B93" s="4" t="s">
        <v>23</v>
      </c>
      <c r="C93" s="4">
        <v>30</v>
      </c>
      <c r="D93" s="4" t="s">
        <v>24</v>
      </c>
      <c r="E93" s="4">
        <v>11</v>
      </c>
      <c r="F93" s="28">
        <v>2.4</v>
      </c>
      <c r="G93" s="27"/>
      <c r="H93" s="27">
        <v>23</v>
      </c>
      <c r="I93" s="5">
        <v>8.8000000000000007</v>
      </c>
      <c r="J93" s="4">
        <v>85</v>
      </c>
      <c r="K93" s="27"/>
      <c r="L93" s="27">
        <v>136</v>
      </c>
      <c r="M93" s="28"/>
      <c r="N93" s="5">
        <v>6.2</v>
      </c>
      <c r="O93" s="5">
        <v>4.4000000000000004</v>
      </c>
      <c r="P93" s="28">
        <v>4.7</v>
      </c>
      <c r="R93" s="5"/>
      <c r="S93" s="6"/>
      <c r="T93" s="5"/>
      <c r="V93" s="6"/>
    </row>
    <row r="94" spans="1:22" x14ac:dyDescent="0.25">
      <c r="A94" s="4">
        <v>1976</v>
      </c>
      <c r="B94" s="4" t="s">
        <v>23</v>
      </c>
      <c r="C94" s="4">
        <v>30</v>
      </c>
      <c r="D94" s="4" t="s">
        <v>24</v>
      </c>
      <c r="E94" s="4">
        <v>12</v>
      </c>
      <c r="F94" s="28">
        <v>2.5</v>
      </c>
      <c r="G94" s="27">
        <v>38</v>
      </c>
      <c r="H94" s="27">
        <v>33</v>
      </c>
      <c r="I94" s="5">
        <v>9.1999999999999993</v>
      </c>
      <c r="J94" s="4">
        <v>94</v>
      </c>
      <c r="K94" s="27">
        <v>798</v>
      </c>
      <c r="L94" s="27">
        <v>196</v>
      </c>
      <c r="M94" s="28">
        <v>79</v>
      </c>
      <c r="N94" s="5">
        <v>5.8</v>
      </c>
      <c r="O94" s="5">
        <v>4.0999999999999996</v>
      </c>
      <c r="P94" s="28">
        <v>4.9000000000000004</v>
      </c>
      <c r="Q94" s="4">
        <v>148</v>
      </c>
      <c r="R94" s="5">
        <v>149</v>
      </c>
      <c r="S94" s="6">
        <v>5.36</v>
      </c>
      <c r="T94" s="5">
        <v>110.6</v>
      </c>
      <c r="V94" s="6">
        <v>0.7</v>
      </c>
    </row>
    <row r="95" spans="1:22" x14ac:dyDescent="0.25">
      <c r="A95" s="4">
        <v>1976</v>
      </c>
      <c r="B95" s="4" t="s">
        <v>23</v>
      </c>
      <c r="C95" s="4">
        <v>30</v>
      </c>
      <c r="D95" s="4" t="s">
        <v>24</v>
      </c>
      <c r="E95" s="4">
        <v>13</v>
      </c>
      <c r="F95" s="28">
        <v>2.6</v>
      </c>
      <c r="G95" s="27">
        <v>36</v>
      </c>
      <c r="H95" s="27">
        <v>27</v>
      </c>
      <c r="I95" s="5">
        <v>9.6999999999999993</v>
      </c>
      <c r="J95" s="4">
        <v>84</v>
      </c>
      <c r="K95" s="27">
        <v>592</v>
      </c>
      <c r="L95" s="27">
        <v>247</v>
      </c>
      <c r="M95" s="28">
        <v>68.099999999999994</v>
      </c>
      <c r="N95" s="5">
        <v>5.5</v>
      </c>
      <c r="O95" s="5">
        <v>3.8</v>
      </c>
      <c r="P95" s="28">
        <v>5.2</v>
      </c>
      <c r="Q95" s="4">
        <v>116</v>
      </c>
      <c r="R95" s="5">
        <v>167.3</v>
      </c>
      <c r="S95" s="6">
        <v>6.41</v>
      </c>
      <c r="T95" s="5">
        <v>124.5</v>
      </c>
      <c r="V95" s="6">
        <v>0.64</v>
      </c>
    </row>
    <row r="96" spans="1:22" x14ac:dyDescent="0.25">
      <c r="A96" s="4">
        <v>1976</v>
      </c>
      <c r="B96" s="4" t="s">
        <v>23</v>
      </c>
      <c r="C96" s="4">
        <v>30</v>
      </c>
      <c r="D96" s="4" t="s">
        <v>24</v>
      </c>
      <c r="E96" s="4">
        <v>14</v>
      </c>
      <c r="F96" s="28">
        <v>2.4</v>
      </c>
      <c r="G96" s="27"/>
      <c r="H96" s="27">
        <v>29</v>
      </c>
      <c r="I96" s="5">
        <v>8.4</v>
      </c>
      <c r="J96" s="4">
        <v>87</v>
      </c>
      <c r="K96" s="27"/>
      <c r="L96" s="27">
        <v>181</v>
      </c>
      <c r="M96" s="28"/>
      <c r="N96" s="5">
        <v>4.7</v>
      </c>
      <c r="O96" s="5">
        <v>4.7</v>
      </c>
      <c r="P96" s="28">
        <v>4.5999999999999996</v>
      </c>
      <c r="R96" s="5">
        <v>150.6</v>
      </c>
      <c r="S96" s="6">
        <v>5.81</v>
      </c>
      <c r="T96" s="5">
        <v>116</v>
      </c>
      <c r="V96" s="6"/>
    </row>
    <row r="97" spans="1:22" x14ac:dyDescent="0.25">
      <c r="A97" s="4">
        <v>1976</v>
      </c>
      <c r="B97" s="4" t="s">
        <v>23</v>
      </c>
      <c r="C97" s="4">
        <v>30</v>
      </c>
      <c r="D97" s="4" t="s">
        <v>24</v>
      </c>
      <c r="E97" s="4">
        <v>15</v>
      </c>
      <c r="F97" s="28">
        <v>2.7</v>
      </c>
      <c r="G97" s="27">
        <v>25</v>
      </c>
      <c r="H97" s="27">
        <v>31</v>
      </c>
      <c r="I97" s="5">
        <v>9.1999999999999993</v>
      </c>
      <c r="J97" s="4">
        <v>105</v>
      </c>
      <c r="K97" s="27">
        <v>341</v>
      </c>
      <c r="L97" s="27">
        <v>207</v>
      </c>
      <c r="M97" s="28">
        <v>86.1</v>
      </c>
      <c r="N97" s="5">
        <v>5.8</v>
      </c>
      <c r="O97" s="5">
        <v>4.2</v>
      </c>
      <c r="P97" s="28">
        <v>5.2</v>
      </c>
      <c r="Q97" s="4">
        <v>144</v>
      </c>
      <c r="R97" s="5">
        <v>158.69999999999999</v>
      </c>
      <c r="S97" s="6">
        <v>6.08</v>
      </c>
      <c r="T97" s="5">
        <v>119.9</v>
      </c>
      <c r="V97" s="6">
        <v>0.52</v>
      </c>
    </row>
    <row r="98" spans="1:22" x14ac:dyDescent="0.25">
      <c r="A98" s="4">
        <v>1976</v>
      </c>
      <c r="B98" s="4" t="s">
        <v>23</v>
      </c>
      <c r="C98" s="4">
        <v>30</v>
      </c>
      <c r="D98" s="4" t="s">
        <v>24</v>
      </c>
      <c r="E98" s="4">
        <v>16</v>
      </c>
      <c r="F98" s="28">
        <v>2.7</v>
      </c>
      <c r="G98" s="27">
        <v>26</v>
      </c>
      <c r="H98" s="27">
        <v>25</v>
      </c>
      <c r="I98" s="5">
        <v>9.6999999999999993</v>
      </c>
      <c r="J98" s="4">
        <v>97</v>
      </c>
      <c r="K98" s="27">
        <v>328</v>
      </c>
      <c r="L98" s="27">
        <v>196</v>
      </c>
      <c r="M98" s="28">
        <v>78</v>
      </c>
      <c r="N98" s="5">
        <v>6.7</v>
      </c>
      <c r="O98" s="5">
        <v>5.0999999999999996</v>
      </c>
      <c r="P98" s="28">
        <v>5.2</v>
      </c>
      <c r="Q98" s="4">
        <v>183</v>
      </c>
      <c r="R98" s="5">
        <v>167</v>
      </c>
      <c r="S98" s="6">
        <v>6.27</v>
      </c>
      <c r="T98" s="5">
        <v>125</v>
      </c>
      <c r="V98" s="6">
        <v>0.75</v>
      </c>
    </row>
  </sheetData>
  <sortState xmlns:xlrd2="http://schemas.microsoft.com/office/spreadsheetml/2017/richdata2" ref="A2:Y104">
    <sortCondition ref="C2:C104"/>
    <sortCondition ref="B2:B1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Z69"/>
  <sheetViews>
    <sheetView tabSelected="1" workbookViewId="0">
      <pane ySplit="1" topLeftCell="A52" activePane="bottomLeft" state="frozen"/>
      <selection pane="bottomLeft" activeCell="E60" sqref="E60"/>
    </sheetView>
  </sheetViews>
  <sheetFormatPr defaultColWidth="8.85546875" defaultRowHeight="15" x14ac:dyDescent="0.25"/>
  <cols>
    <col min="1" max="1" width="5.85546875" style="4" bestFit="1" customWidth="1"/>
    <col min="2" max="2" width="3.85546875" style="4" bestFit="1" customWidth="1"/>
    <col min="3" max="3" width="4.140625" style="4" bestFit="1" customWidth="1"/>
    <col min="4" max="4" width="9" style="4" bestFit="1" customWidth="1"/>
    <col min="5" max="5" width="13.42578125" bestFit="1" customWidth="1"/>
    <col min="6" max="6" width="12.42578125" bestFit="1" customWidth="1"/>
    <col min="7" max="7" width="8.85546875" bestFit="1" customWidth="1"/>
    <col min="8" max="8" width="6.140625" bestFit="1" customWidth="1"/>
    <col min="9" max="9" width="7.140625" bestFit="1" customWidth="1"/>
    <col min="10" max="10" width="7.5703125" bestFit="1" customWidth="1"/>
    <col min="11" max="11" width="10.42578125" bestFit="1" customWidth="1"/>
    <col min="12" max="12" width="12.140625" bestFit="1" customWidth="1"/>
    <col min="13" max="13" width="7.140625" bestFit="1" customWidth="1"/>
    <col min="14" max="14" width="7.42578125" bestFit="1" customWidth="1"/>
    <col min="15" max="15" width="8.85546875" bestFit="1" customWidth="1"/>
    <col min="16" max="16" width="8.5703125" bestFit="1" customWidth="1"/>
    <col min="17" max="17" width="6.140625" bestFit="1" customWidth="1"/>
    <col min="18" max="18" width="7.42578125" bestFit="1" customWidth="1"/>
    <col min="19" max="19" width="7.5703125" bestFit="1" customWidth="1"/>
    <col min="20" max="20" width="16.5703125" bestFit="1" customWidth="1"/>
    <col min="21" max="21" width="7" bestFit="1" customWidth="1"/>
    <col min="22" max="22" width="17.42578125" bestFit="1" customWidth="1"/>
    <col min="23" max="23" width="18.5703125" bestFit="1" customWidth="1"/>
    <col min="24" max="24" width="18.42578125" bestFit="1" customWidth="1"/>
    <col min="25" max="25" width="15.85546875" bestFit="1" customWidth="1"/>
    <col min="26" max="26" width="17.42578125" bestFit="1" customWidth="1"/>
    <col min="33" max="33" width="11.5703125" customWidth="1"/>
    <col min="34" max="34" width="12" customWidth="1"/>
    <col min="35" max="88" width="28.42578125" customWidth="1"/>
    <col min="89" max="89" width="24.42578125" customWidth="1"/>
    <col min="90" max="90" width="23.85546875" customWidth="1"/>
    <col min="91" max="91" width="20" customWidth="1"/>
    <col min="92" max="92" width="17.42578125" customWidth="1"/>
    <col min="93" max="93" width="18.140625" customWidth="1"/>
    <col min="94" max="94" width="18.85546875" customWidth="1"/>
    <col min="95" max="95" width="21.85546875" customWidth="1"/>
    <col min="96" max="96" width="23.42578125" customWidth="1"/>
    <col min="97" max="97" width="18.140625" customWidth="1"/>
    <col min="98" max="98" width="18.85546875" customWidth="1"/>
    <col min="99" max="99" width="18.140625" customWidth="1"/>
    <col min="100" max="100" width="27.85546875" customWidth="1"/>
    <col min="101" max="101" width="18.5703125" customWidth="1"/>
    <col min="102" max="102" width="20" customWidth="1"/>
    <col min="103" max="103" width="19.85546875" customWidth="1"/>
    <col min="104" max="104" width="17.42578125" customWidth="1"/>
    <col min="105" max="105" width="18.5703125" customWidth="1"/>
    <col min="106" max="106" width="28.42578125" customWidth="1"/>
    <col min="107" max="107" width="29.85546875" customWidth="1"/>
    <col min="108" max="108" width="29.5703125" customWidth="1"/>
    <col min="109" max="109" width="27.140625" customWidth="1"/>
    <col min="110" max="176" width="28.42578125" customWidth="1"/>
    <col min="177" max="177" width="25.42578125" customWidth="1"/>
    <col min="178" max="178" width="24.5703125" customWidth="1"/>
    <col min="179" max="179" width="20.85546875" customWidth="1"/>
    <col min="180" max="180" width="18.140625" customWidth="1"/>
    <col min="181" max="181" width="19.140625" customWidth="1"/>
    <col min="182" max="182" width="19.5703125" customWidth="1"/>
    <col min="183" max="183" width="22.5703125" customWidth="1"/>
    <col min="184" max="184" width="24.42578125" customWidth="1"/>
    <col min="185" max="185" width="19.140625" customWidth="1"/>
    <col min="186" max="186" width="19.5703125" customWidth="1"/>
    <col min="187" max="187" width="19" customWidth="1"/>
    <col min="188" max="188" width="28.85546875" customWidth="1"/>
    <col min="189" max="189" width="19.42578125" customWidth="1"/>
    <col min="190" max="190" width="20.85546875" customWidth="1"/>
    <col min="191" max="191" width="20.5703125" customWidth="1"/>
    <col min="192" max="192" width="18.140625" customWidth="1"/>
    <col min="193" max="193" width="19.42578125" customWidth="1"/>
    <col min="194" max="194" width="29.42578125" customWidth="1"/>
    <col min="195" max="195" width="30.85546875" customWidth="1"/>
    <col min="196" max="196" width="30.42578125" customWidth="1"/>
    <col min="197" max="197" width="28" customWidth="1"/>
    <col min="198" max="198" width="29.42578125" customWidth="1"/>
    <col min="199" max="217" width="28.42578125" customWidth="1"/>
    <col min="218" max="218" width="28.42578125" bestFit="1" customWidth="1"/>
    <col min="219" max="220" width="28.42578125" customWidth="1"/>
    <col min="221" max="221" width="29.85546875" customWidth="1"/>
    <col min="222" max="222" width="29" customWidth="1"/>
    <col min="223" max="223" width="25.140625" customWidth="1"/>
    <col min="224" max="224" width="22.42578125" customWidth="1"/>
    <col min="225" max="225" width="23.42578125" customWidth="1"/>
    <col min="226" max="226" width="24" customWidth="1"/>
    <col min="227" max="227" width="27" customWidth="1"/>
    <col min="228" max="228" width="28.5703125" bestFit="1" customWidth="1"/>
    <col min="229" max="229" width="23.42578125" customWidth="1"/>
    <col min="230" max="230" width="24" customWidth="1"/>
    <col min="231" max="231" width="23.42578125" customWidth="1"/>
    <col min="232" max="232" width="33.140625" bestFit="1" customWidth="1"/>
    <col min="233" max="233" width="23.85546875" customWidth="1"/>
    <col min="234" max="234" width="25.140625" customWidth="1"/>
    <col min="235" max="235" width="25" bestFit="1" customWidth="1"/>
    <col min="236" max="236" width="22.42578125" customWidth="1"/>
    <col min="237" max="237" width="23.85546875" customWidth="1"/>
    <col min="238" max="238" width="33.85546875" bestFit="1" customWidth="1"/>
    <col min="239" max="239" width="35.140625" bestFit="1" customWidth="1"/>
    <col min="240" max="240" width="34.85546875" customWidth="1"/>
    <col min="241" max="241" width="32.42578125" customWidth="1"/>
    <col min="242" max="242" width="33.85546875" customWidth="1"/>
    <col min="243" max="243" width="27.85546875" bestFit="1" customWidth="1"/>
    <col min="244" max="244" width="27.140625" customWidth="1"/>
    <col min="245" max="245" width="23.42578125" bestFit="1" customWidth="1"/>
    <col min="246" max="246" width="20.5703125" customWidth="1"/>
    <col min="247" max="247" width="21.5703125" customWidth="1"/>
    <col min="248" max="248" width="22.140625" bestFit="1" customWidth="1"/>
    <col min="249" max="249" width="25.140625" bestFit="1" customWidth="1"/>
    <col min="250" max="250" width="26.85546875" customWidth="1"/>
    <col min="251" max="251" width="21.5703125" customWidth="1"/>
    <col min="252" max="252" width="22.140625" customWidth="1"/>
    <col min="253" max="253" width="21.42578125" customWidth="1"/>
    <col min="254" max="254" width="31.42578125" bestFit="1" customWidth="1"/>
    <col min="255" max="255" width="22.140625" bestFit="1" customWidth="1"/>
    <col min="256" max="256" width="23.42578125" bestFit="1" customWidth="1"/>
    <col min="257" max="257" width="23.140625" bestFit="1" customWidth="1"/>
    <col min="258" max="258" width="20.5703125" bestFit="1" customWidth="1"/>
    <col min="259" max="259" width="22.140625" bestFit="1" customWidth="1"/>
    <col min="260" max="260" width="31.85546875" bestFit="1" customWidth="1"/>
    <col min="261" max="261" width="33.140625" bestFit="1" customWidth="1"/>
    <col min="262" max="262" width="33" bestFit="1" customWidth="1"/>
    <col min="263" max="263" width="30.42578125" bestFit="1" customWidth="1"/>
    <col min="264" max="264" width="31.85546875" bestFit="1" customWidth="1"/>
  </cols>
  <sheetData>
    <row r="1" spans="1:26" x14ac:dyDescent="0.25">
      <c r="A1" s="1" t="s">
        <v>17</v>
      </c>
      <c r="B1" s="1" t="s">
        <v>18</v>
      </c>
      <c r="C1" s="1" t="s">
        <v>19</v>
      </c>
      <c r="D1" s="1" t="s">
        <v>25</v>
      </c>
      <c r="E1" s="3" t="s">
        <v>26</v>
      </c>
      <c r="F1" s="3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1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3" t="s">
        <v>40</v>
      </c>
      <c r="T1" s="2" t="s">
        <v>41</v>
      </c>
      <c r="U1" s="2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</row>
    <row r="2" spans="1:26" x14ac:dyDescent="0.25">
      <c r="A2" s="4">
        <v>1976</v>
      </c>
      <c r="B2" s="4" t="s">
        <v>22</v>
      </c>
      <c r="C2" s="4">
        <v>8</v>
      </c>
      <c r="D2" s="4">
        <v>1</v>
      </c>
      <c r="E2" s="6">
        <v>2</v>
      </c>
      <c r="F2" s="6">
        <v>8.4</v>
      </c>
      <c r="G2" s="5">
        <v>14.4</v>
      </c>
      <c r="H2" s="5">
        <v>40.799999999999997</v>
      </c>
      <c r="I2" s="5">
        <v>48.7</v>
      </c>
      <c r="J2" s="5">
        <v>17.3</v>
      </c>
      <c r="K2" s="5">
        <v>35.6</v>
      </c>
      <c r="L2" s="4">
        <v>1220</v>
      </c>
      <c r="M2" s="5">
        <v>5.3</v>
      </c>
      <c r="N2" s="5">
        <v>9.4</v>
      </c>
      <c r="O2" s="5">
        <v>81.900000000000006</v>
      </c>
      <c r="P2" s="5">
        <v>0.2</v>
      </c>
      <c r="Q2" s="5">
        <v>5.8</v>
      </c>
      <c r="R2" s="5">
        <v>0.7</v>
      </c>
      <c r="S2" s="6">
        <v>5.14</v>
      </c>
      <c r="T2" s="5">
        <v>430.8</v>
      </c>
      <c r="U2" s="5">
        <v>16.2</v>
      </c>
      <c r="V2" s="6">
        <v>0.2</v>
      </c>
      <c r="W2" s="6">
        <v>1.64</v>
      </c>
      <c r="X2" s="6">
        <v>0</v>
      </c>
      <c r="Y2" s="6">
        <v>0.12</v>
      </c>
      <c r="Z2" s="6">
        <v>0</v>
      </c>
    </row>
    <row r="3" spans="1:26" x14ac:dyDescent="0.25">
      <c r="A3" s="4">
        <v>1976</v>
      </c>
      <c r="B3" s="4" t="s">
        <v>22</v>
      </c>
      <c r="C3" s="4">
        <v>8</v>
      </c>
      <c r="D3" s="4">
        <v>2</v>
      </c>
      <c r="E3" s="6">
        <v>2</v>
      </c>
      <c r="F3" s="6">
        <v>7.68</v>
      </c>
      <c r="G3" s="5">
        <v>13.6</v>
      </c>
      <c r="H3" s="5">
        <v>38.4</v>
      </c>
      <c r="I3" s="5">
        <v>49.9</v>
      </c>
      <c r="J3" s="5">
        <v>17.5</v>
      </c>
      <c r="K3" s="5">
        <v>35.1</v>
      </c>
      <c r="L3" s="4">
        <v>1164</v>
      </c>
      <c r="M3" s="5">
        <v>5.2</v>
      </c>
      <c r="N3" s="5">
        <v>14.1</v>
      </c>
      <c r="O3" s="5">
        <v>80.2</v>
      </c>
      <c r="P3" s="5">
        <v>0.7</v>
      </c>
      <c r="Q3" s="5">
        <v>4.9000000000000004</v>
      </c>
      <c r="R3" s="5">
        <v>0.2</v>
      </c>
      <c r="S3" s="6">
        <v>5.61</v>
      </c>
      <c r="T3" s="5">
        <v>430.4</v>
      </c>
      <c r="U3" s="5">
        <v>16.600000000000001</v>
      </c>
      <c r="V3" s="6">
        <v>0.28000000000000003</v>
      </c>
      <c r="W3" s="6">
        <v>1.6</v>
      </c>
      <c r="X3" s="6">
        <v>0</v>
      </c>
      <c r="Y3" s="6">
        <v>0.08</v>
      </c>
      <c r="Z3" s="6">
        <v>0</v>
      </c>
    </row>
    <row r="4" spans="1:26" x14ac:dyDescent="0.25">
      <c r="A4" s="4">
        <v>1976</v>
      </c>
      <c r="B4" s="4" t="s">
        <v>22</v>
      </c>
      <c r="C4" s="4">
        <v>8</v>
      </c>
      <c r="D4" s="4">
        <v>3</v>
      </c>
      <c r="E4" s="6">
        <v>1.24</v>
      </c>
      <c r="F4" s="6">
        <v>8.2799999999999994</v>
      </c>
      <c r="G4" s="5">
        <v>14.4</v>
      </c>
      <c r="H4" s="5">
        <v>42.4</v>
      </c>
      <c r="I4" s="5">
        <v>50.9</v>
      </c>
      <c r="J4" s="5">
        <v>17.3</v>
      </c>
      <c r="K4" s="5">
        <v>34</v>
      </c>
      <c r="L4" s="4">
        <v>892</v>
      </c>
      <c r="M4" s="5">
        <v>5.3</v>
      </c>
      <c r="N4" s="5">
        <v>52.1</v>
      </c>
      <c r="O4" s="5">
        <v>21.9</v>
      </c>
      <c r="P4" s="5">
        <v>1.4</v>
      </c>
      <c r="Q4" s="5">
        <v>16.399999999999999</v>
      </c>
      <c r="R4" s="5">
        <v>1.9</v>
      </c>
      <c r="S4" s="6">
        <v>3.79</v>
      </c>
      <c r="T4" s="5">
        <v>314.39999999999998</v>
      </c>
      <c r="U4" s="5">
        <v>16.7</v>
      </c>
      <c r="V4" s="6">
        <v>0.64</v>
      </c>
      <c r="W4" s="6">
        <v>0.28000000000000003</v>
      </c>
      <c r="X4" s="6">
        <v>0</v>
      </c>
      <c r="Y4" s="6">
        <v>0.2</v>
      </c>
      <c r="Z4" s="6">
        <v>0.04</v>
      </c>
    </row>
    <row r="5" spans="1:26" x14ac:dyDescent="0.25">
      <c r="A5" s="4">
        <v>1976</v>
      </c>
      <c r="B5" s="4" t="s">
        <v>22</v>
      </c>
      <c r="C5" s="4">
        <v>8</v>
      </c>
      <c r="D5" s="4">
        <v>4</v>
      </c>
      <c r="E5" s="6">
        <v>1.08</v>
      </c>
      <c r="F5" s="6">
        <v>7.72</v>
      </c>
      <c r="G5" s="5">
        <v>13.6</v>
      </c>
      <c r="H5" s="5">
        <v>38.4</v>
      </c>
      <c r="I5" s="5">
        <v>49.7</v>
      </c>
      <c r="J5" s="5">
        <v>17.399999999999999</v>
      </c>
      <c r="K5" s="5">
        <v>35</v>
      </c>
      <c r="L5" s="4">
        <v>1296</v>
      </c>
      <c r="M5" s="5">
        <v>5.3</v>
      </c>
      <c r="N5" s="5">
        <v>11</v>
      </c>
      <c r="O5" s="5">
        <v>76.8</v>
      </c>
      <c r="P5" s="5">
        <v>1.2</v>
      </c>
      <c r="Q5" s="5">
        <v>9.8000000000000007</v>
      </c>
      <c r="R5" s="5">
        <v>0.9</v>
      </c>
      <c r="S5" s="6">
        <v>5.07</v>
      </c>
      <c r="T5" s="5">
        <v>391.2</v>
      </c>
      <c r="U5" s="5">
        <v>16.399999999999999</v>
      </c>
      <c r="V5" s="6">
        <v>0.12</v>
      </c>
      <c r="W5" s="6">
        <v>0.84</v>
      </c>
      <c r="X5" s="6">
        <v>0</v>
      </c>
      <c r="Y5" s="6">
        <v>0.12</v>
      </c>
      <c r="Z5" s="6">
        <v>0</v>
      </c>
    </row>
    <row r="6" spans="1:26" x14ac:dyDescent="0.25">
      <c r="A6" s="4">
        <v>1976</v>
      </c>
      <c r="B6" s="4" t="s">
        <v>22</v>
      </c>
      <c r="C6" s="4">
        <v>8</v>
      </c>
      <c r="D6" s="4">
        <v>5</v>
      </c>
      <c r="E6" s="6">
        <v>2.38</v>
      </c>
      <c r="F6" s="4">
        <v>9.94</v>
      </c>
      <c r="G6" s="5">
        <v>15.8</v>
      </c>
      <c r="H6" s="5">
        <v>48.7</v>
      </c>
      <c r="I6" s="5">
        <v>49</v>
      </c>
      <c r="J6" s="5">
        <v>15.9</v>
      </c>
      <c r="K6" s="5">
        <v>32.4</v>
      </c>
      <c r="L6" s="4">
        <v>604</v>
      </c>
      <c r="M6" s="5">
        <v>4.9000000000000004</v>
      </c>
      <c r="N6" s="5">
        <v>40.18</v>
      </c>
      <c r="O6" s="5">
        <v>42.44</v>
      </c>
      <c r="P6" s="5">
        <v>8.5299999999999994</v>
      </c>
      <c r="Q6" s="5">
        <v>8.15</v>
      </c>
      <c r="R6" s="5">
        <v>0.69</v>
      </c>
      <c r="S6" s="4"/>
      <c r="T6" s="4"/>
      <c r="U6" s="4"/>
      <c r="V6" s="6">
        <v>0.96</v>
      </c>
      <c r="W6" s="6">
        <v>1.01</v>
      </c>
      <c r="X6" s="6">
        <v>0.2</v>
      </c>
      <c r="Y6" s="6">
        <v>0.19</v>
      </c>
      <c r="Z6" s="6">
        <v>0.02</v>
      </c>
    </row>
    <row r="7" spans="1:26" x14ac:dyDescent="0.25">
      <c r="A7" s="4">
        <v>1976</v>
      </c>
      <c r="B7" s="4" t="s">
        <v>22</v>
      </c>
      <c r="C7" s="4">
        <v>8</v>
      </c>
      <c r="D7" s="4">
        <v>6</v>
      </c>
      <c r="E7" s="6">
        <v>1.86</v>
      </c>
      <c r="F7" s="4">
        <v>8.65</v>
      </c>
      <c r="G7" s="5">
        <v>13.7</v>
      </c>
      <c r="H7" s="5">
        <v>44.4</v>
      </c>
      <c r="I7" s="5">
        <v>51.3</v>
      </c>
      <c r="J7" s="5">
        <v>15.8</v>
      </c>
      <c r="K7" s="5">
        <v>30.9</v>
      </c>
      <c r="L7" s="4">
        <v>877</v>
      </c>
      <c r="M7" s="5">
        <v>5</v>
      </c>
      <c r="N7" s="5">
        <v>22.14</v>
      </c>
      <c r="O7" s="5">
        <v>69.2</v>
      </c>
      <c r="P7" s="5">
        <v>6.61</v>
      </c>
      <c r="Q7" s="5">
        <v>1.55</v>
      </c>
      <c r="R7" s="5">
        <v>0.49</v>
      </c>
      <c r="S7" s="4"/>
      <c r="T7" s="4"/>
      <c r="U7" s="4"/>
      <c r="V7" s="6">
        <v>0.41</v>
      </c>
      <c r="W7" s="6">
        <v>1.29</v>
      </c>
      <c r="X7" s="6">
        <v>0.12</v>
      </c>
      <c r="Y7" s="6">
        <v>0.03</v>
      </c>
      <c r="Z7" s="6">
        <v>0.01</v>
      </c>
    </row>
    <row r="8" spans="1:26" x14ac:dyDescent="0.25">
      <c r="A8" s="4">
        <v>1976</v>
      </c>
      <c r="B8" s="4" t="s">
        <v>22</v>
      </c>
      <c r="C8" s="4">
        <v>8</v>
      </c>
      <c r="D8" s="4">
        <v>7</v>
      </c>
      <c r="E8" s="6">
        <v>2</v>
      </c>
      <c r="F8" s="4">
        <v>8.9700000000000006</v>
      </c>
      <c r="G8" s="5">
        <v>14.3</v>
      </c>
      <c r="H8" s="5">
        <v>44.8</v>
      </c>
      <c r="I8" s="5">
        <v>50</v>
      </c>
      <c r="J8" s="5">
        <v>15.9</v>
      </c>
      <c r="K8" s="5">
        <v>31.9</v>
      </c>
      <c r="L8" s="4">
        <v>839</v>
      </c>
      <c r="M8" s="5">
        <v>4.9000000000000004</v>
      </c>
      <c r="N8" s="5">
        <v>27.84</v>
      </c>
      <c r="O8" s="5">
        <v>59.09</v>
      </c>
      <c r="P8" s="5">
        <v>9.2799999999999994</v>
      </c>
      <c r="Q8" s="5">
        <v>3.12</v>
      </c>
      <c r="R8" s="5">
        <v>0.68</v>
      </c>
      <c r="S8" s="4"/>
      <c r="T8" s="4"/>
      <c r="U8" s="4"/>
      <c r="V8" s="6">
        <v>0.56000000000000005</v>
      </c>
      <c r="W8" s="6">
        <v>1.18</v>
      </c>
      <c r="X8" s="6">
        <v>0.19</v>
      </c>
      <c r="Y8" s="6">
        <v>0.06</v>
      </c>
      <c r="Z8" s="6">
        <v>0.01</v>
      </c>
    </row>
    <row r="9" spans="1:26" x14ac:dyDescent="0.25">
      <c r="A9" s="4">
        <v>1976</v>
      </c>
      <c r="B9" s="4" t="s">
        <v>22</v>
      </c>
      <c r="C9" s="4">
        <v>8</v>
      </c>
      <c r="D9" s="4">
        <v>8</v>
      </c>
      <c r="E9" s="6">
        <v>2.9</v>
      </c>
      <c r="F9" s="4">
        <v>8.2100000000000009</v>
      </c>
      <c r="G9" s="5">
        <v>12.5</v>
      </c>
      <c r="H9" s="5">
        <v>41.6</v>
      </c>
      <c r="I9" s="5">
        <v>50.7</v>
      </c>
      <c r="J9" s="5">
        <v>15.2</v>
      </c>
      <c r="K9" s="5">
        <v>30</v>
      </c>
      <c r="L9" s="4">
        <v>821</v>
      </c>
      <c r="M9" s="5">
        <v>4.8</v>
      </c>
      <c r="N9" s="5">
        <v>23.86</v>
      </c>
      <c r="O9" s="5">
        <v>63.89</v>
      </c>
      <c r="P9" s="5">
        <v>5.0199999999999996</v>
      </c>
      <c r="Q9" s="5">
        <v>6.56</v>
      </c>
      <c r="R9" s="5">
        <v>0.66</v>
      </c>
      <c r="S9" s="4"/>
      <c r="T9" s="4"/>
      <c r="U9" s="4"/>
      <c r="V9" s="6">
        <v>0.69</v>
      </c>
      <c r="W9" s="6">
        <v>1.85</v>
      </c>
      <c r="X9" s="6">
        <v>0.15</v>
      </c>
      <c r="Y9" s="6">
        <v>0.19</v>
      </c>
      <c r="Z9" s="6">
        <v>0.02</v>
      </c>
    </row>
    <row r="10" spans="1:26" x14ac:dyDescent="0.25">
      <c r="A10" s="4">
        <v>1976</v>
      </c>
      <c r="B10" s="4" t="s">
        <v>22</v>
      </c>
      <c r="C10" s="4">
        <v>8</v>
      </c>
      <c r="D10" s="4">
        <v>9</v>
      </c>
      <c r="E10" s="6">
        <v>1.36</v>
      </c>
      <c r="F10" s="4">
        <v>8.5</v>
      </c>
      <c r="G10" s="5">
        <v>12.7</v>
      </c>
      <c r="H10" s="5">
        <v>41.7</v>
      </c>
      <c r="I10" s="5">
        <v>49</v>
      </c>
      <c r="J10" s="5">
        <v>14.9</v>
      </c>
      <c r="K10" s="5">
        <v>30.5</v>
      </c>
      <c r="L10" s="4">
        <v>809</v>
      </c>
      <c r="M10" s="5">
        <v>5</v>
      </c>
      <c r="N10" s="5">
        <v>30.47</v>
      </c>
      <c r="O10" s="5">
        <v>52.58</v>
      </c>
      <c r="P10" s="5">
        <v>13.23</v>
      </c>
      <c r="Q10" s="5">
        <v>3.06</v>
      </c>
      <c r="R10" s="5">
        <v>0.66</v>
      </c>
      <c r="S10" s="4"/>
      <c r="T10" s="4"/>
      <c r="U10" s="4"/>
      <c r="V10" s="6">
        <v>0.41</v>
      </c>
      <c r="W10" s="6">
        <v>0.72</v>
      </c>
      <c r="X10" s="6">
        <v>0.18</v>
      </c>
      <c r="Y10" s="6">
        <v>0.04</v>
      </c>
      <c r="Z10" s="6">
        <v>0.01</v>
      </c>
    </row>
    <row r="11" spans="1:26" x14ac:dyDescent="0.25">
      <c r="A11" s="4">
        <v>1976</v>
      </c>
      <c r="B11" s="4" t="s">
        <v>23</v>
      </c>
      <c r="C11" s="4">
        <v>8</v>
      </c>
      <c r="D11" s="4">
        <v>1</v>
      </c>
      <c r="E11" s="6">
        <v>1.28</v>
      </c>
      <c r="F11" s="6">
        <v>8.6</v>
      </c>
      <c r="G11" s="5">
        <v>14.8</v>
      </c>
      <c r="H11" s="5">
        <v>41.6</v>
      </c>
      <c r="I11" s="5">
        <v>48.5</v>
      </c>
      <c r="J11" s="5">
        <v>17.399999999999999</v>
      </c>
      <c r="K11" s="5">
        <v>35.799999999999997</v>
      </c>
      <c r="L11" s="4">
        <v>556</v>
      </c>
      <c r="M11" s="5">
        <v>5</v>
      </c>
      <c r="N11" s="5">
        <v>12.2</v>
      </c>
      <c r="O11" s="5">
        <v>81.5</v>
      </c>
      <c r="P11" s="5">
        <v>0.7</v>
      </c>
      <c r="Q11" s="5">
        <v>5.6</v>
      </c>
      <c r="R11" s="5">
        <v>0.4</v>
      </c>
      <c r="S11" s="6">
        <v>5.05</v>
      </c>
      <c r="T11" s="5">
        <v>434.8</v>
      </c>
      <c r="U11" s="5">
        <v>16.2</v>
      </c>
      <c r="V11" s="6">
        <v>0.16</v>
      </c>
      <c r="W11" s="6">
        <v>1.04</v>
      </c>
      <c r="X11" s="6">
        <v>0</v>
      </c>
      <c r="Y11" s="6">
        <v>0.08</v>
      </c>
      <c r="Z11" s="6">
        <v>0</v>
      </c>
    </row>
    <row r="12" spans="1:26" x14ac:dyDescent="0.25">
      <c r="A12" s="4">
        <v>1976</v>
      </c>
      <c r="B12" s="4" t="s">
        <v>23</v>
      </c>
      <c r="C12" s="4">
        <v>8</v>
      </c>
      <c r="D12" s="4">
        <v>2</v>
      </c>
      <c r="E12" s="6">
        <v>1.72</v>
      </c>
      <c r="F12" s="6">
        <v>7.32</v>
      </c>
      <c r="G12" s="5">
        <v>12.4</v>
      </c>
      <c r="H12" s="5">
        <v>35.6</v>
      </c>
      <c r="I12" s="5">
        <v>48.7</v>
      </c>
      <c r="J12" s="5">
        <v>17.100000000000001</v>
      </c>
      <c r="K12" s="5">
        <v>35</v>
      </c>
      <c r="L12" s="4">
        <v>824</v>
      </c>
      <c r="M12" s="5">
        <v>5.0999999999999996</v>
      </c>
      <c r="N12" s="5">
        <v>13.6</v>
      </c>
      <c r="O12" s="5">
        <v>79.400000000000006</v>
      </c>
      <c r="P12" s="5">
        <v>1</v>
      </c>
      <c r="Q12" s="5">
        <v>4.9000000000000004</v>
      </c>
      <c r="R12" s="5">
        <v>0.8</v>
      </c>
      <c r="S12" s="6">
        <v>5.1100000000000003</v>
      </c>
      <c r="T12" s="5">
        <v>375.2</v>
      </c>
      <c r="U12" s="5">
        <v>15.8</v>
      </c>
      <c r="V12" s="6">
        <v>0.24</v>
      </c>
      <c r="W12" s="6">
        <v>1.36</v>
      </c>
      <c r="X12" s="6">
        <v>0</v>
      </c>
      <c r="Y12" s="6">
        <v>0.08</v>
      </c>
      <c r="Z12" s="6">
        <v>0</v>
      </c>
    </row>
    <row r="13" spans="1:26" x14ac:dyDescent="0.25">
      <c r="A13" s="4">
        <v>1976</v>
      </c>
      <c r="B13" s="4" t="s">
        <v>23</v>
      </c>
      <c r="C13" s="4">
        <v>8</v>
      </c>
      <c r="D13" s="4">
        <v>3</v>
      </c>
      <c r="E13" s="6">
        <v>1.3</v>
      </c>
      <c r="F13" s="6">
        <v>7.92</v>
      </c>
      <c r="G13" s="5">
        <v>14.4</v>
      </c>
      <c r="H13" s="5">
        <v>42.1</v>
      </c>
      <c r="I13" s="5">
        <v>53.1</v>
      </c>
      <c r="J13" s="5">
        <v>18.2</v>
      </c>
      <c r="K13" s="5">
        <v>34.200000000000003</v>
      </c>
      <c r="L13" s="4">
        <v>1324</v>
      </c>
      <c r="M13" s="5">
        <v>5.9</v>
      </c>
      <c r="N13" s="5">
        <v>35.5</v>
      </c>
      <c r="O13" s="5">
        <v>56.9</v>
      </c>
      <c r="P13" s="5">
        <v>1.4</v>
      </c>
      <c r="Q13" s="5">
        <v>6.1</v>
      </c>
      <c r="R13" s="5">
        <v>1.1000000000000001</v>
      </c>
      <c r="S13" s="6">
        <v>5.18</v>
      </c>
      <c r="T13" s="5">
        <v>410.4</v>
      </c>
      <c r="U13" s="5">
        <v>16.600000000000001</v>
      </c>
      <c r="V13" s="6">
        <v>0.46</v>
      </c>
      <c r="W13" s="6">
        <v>0.74</v>
      </c>
      <c r="X13" s="6">
        <v>0.02</v>
      </c>
      <c r="Y13" s="6">
        <v>0.08</v>
      </c>
      <c r="Z13" s="6">
        <v>0.01</v>
      </c>
    </row>
    <row r="14" spans="1:26" x14ac:dyDescent="0.25">
      <c r="A14" s="4">
        <v>1976</v>
      </c>
      <c r="B14" s="4" t="s">
        <v>23</v>
      </c>
      <c r="C14" s="4">
        <v>8</v>
      </c>
      <c r="D14" s="4">
        <v>4</v>
      </c>
      <c r="E14" s="6">
        <v>1.64</v>
      </c>
      <c r="F14" s="6">
        <v>7.77</v>
      </c>
      <c r="G14" s="5">
        <v>12.2</v>
      </c>
      <c r="H14" s="5">
        <v>40</v>
      </c>
      <c r="I14" s="5">
        <v>51.5</v>
      </c>
      <c r="J14" s="5">
        <v>15.6</v>
      </c>
      <c r="K14" s="5">
        <v>30.4</v>
      </c>
      <c r="L14" s="4">
        <v>1018</v>
      </c>
      <c r="M14" s="5">
        <v>5.7</v>
      </c>
      <c r="N14" s="5">
        <v>35</v>
      </c>
      <c r="O14" s="5">
        <v>55.5</v>
      </c>
      <c r="P14" s="5">
        <v>2.4</v>
      </c>
      <c r="Q14" s="5">
        <v>6.5</v>
      </c>
      <c r="R14" s="5">
        <v>0.9</v>
      </c>
      <c r="S14" s="6">
        <v>4.1900000000000004</v>
      </c>
      <c r="T14" s="5">
        <v>325.2</v>
      </c>
      <c r="U14" s="5">
        <v>16.399999999999999</v>
      </c>
      <c r="V14" s="6">
        <v>0.56999999999999995</v>
      </c>
      <c r="W14" s="6">
        <v>0.91</v>
      </c>
      <c r="X14" s="6">
        <v>0.04</v>
      </c>
      <c r="Y14" s="6">
        <v>0.11</v>
      </c>
      <c r="Z14" s="6">
        <v>0.01</v>
      </c>
    </row>
    <row r="15" spans="1:26" x14ac:dyDescent="0.25">
      <c r="A15" s="4">
        <v>1976</v>
      </c>
      <c r="B15" s="4" t="s">
        <v>23</v>
      </c>
      <c r="C15" s="4">
        <v>8</v>
      </c>
      <c r="D15" s="4">
        <v>5</v>
      </c>
      <c r="E15" s="6">
        <v>1.28</v>
      </c>
      <c r="F15" s="6">
        <v>6.32</v>
      </c>
      <c r="G15" s="5">
        <v>10.8</v>
      </c>
      <c r="H15" s="5">
        <v>30</v>
      </c>
      <c r="I15" s="5">
        <v>47.5</v>
      </c>
      <c r="J15" s="5">
        <v>17.100000000000001</v>
      </c>
      <c r="K15" s="5">
        <v>36</v>
      </c>
      <c r="L15" s="4">
        <v>508</v>
      </c>
      <c r="M15" s="5">
        <v>5</v>
      </c>
      <c r="N15" s="5">
        <v>29.1</v>
      </c>
      <c r="O15" s="5">
        <v>29.1</v>
      </c>
      <c r="P15" s="5">
        <v>2.1</v>
      </c>
      <c r="Q15" s="5">
        <v>38.299999999999997</v>
      </c>
      <c r="R15" s="5">
        <v>0</v>
      </c>
      <c r="S15" s="6">
        <v>5.26</v>
      </c>
      <c r="T15" s="5">
        <v>331.2</v>
      </c>
      <c r="U15" s="5">
        <v>16</v>
      </c>
      <c r="V15" s="6">
        <v>0.36</v>
      </c>
      <c r="W15" s="6">
        <v>0.36</v>
      </c>
      <c r="X15" s="6">
        <v>0.04</v>
      </c>
      <c r="Y15" s="6">
        <v>0.48</v>
      </c>
      <c r="Z15" s="6">
        <v>0</v>
      </c>
    </row>
    <row r="16" spans="1:26" x14ac:dyDescent="0.25">
      <c r="A16" s="4">
        <v>1976</v>
      </c>
      <c r="B16" s="4" t="s">
        <v>23</v>
      </c>
      <c r="C16" s="4">
        <v>8</v>
      </c>
      <c r="D16" s="4">
        <v>6</v>
      </c>
      <c r="E16" s="6">
        <v>7.02</v>
      </c>
      <c r="F16" s="4">
        <v>8.41</v>
      </c>
      <c r="G16" s="5">
        <v>12.4</v>
      </c>
      <c r="H16" s="5">
        <v>41</v>
      </c>
      <c r="I16" s="5">
        <v>48.8</v>
      </c>
      <c r="J16" s="5">
        <v>14.7</v>
      </c>
      <c r="K16" s="5">
        <v>30.2</v>
      </c>
      <c r="L16" s="4">
        <v>792</v>
      </c>
      <c r="M16" s="5">
        <v>5.0999999999999996</v>
      </c>
      <c r="N16" s="5">
        <v>27.7</v>
      </c>
      <c r="O16" s="5">
        <v>58.67</v>
      </c>
      <c r="P16" s="5">
        <v>7.57</v>
      </c>
      <c r="Q16" s="5">
        <v>5.38</v>
      </c>
      <c r="R16" s="5">
        <v>0.37</v>
      </c>
      <c r="S16" s="4"/>
      <c r="T16" s="4"/>
      <c r="U16" s="4"/>
      <c r="V16" s="6">
        <v>1.94</v>
      </c>
      <c r="W16" s="6">
        <v>4.12</v>
      </c>
      <c r="X16" s="6">
        <v>0.53</v>
      </c>
      <c r="Y16" s="6">
        <v>0.38</v>
      </c>
      <c r="Z16" s="6">
        <v>0.05</v>
      </c>
    </row>
    <row r="17" spans="1:26" x14ac:dyDescent="0.25">
      <c r="A17" s="4">
        <v>1976</v>
      </c>
      <c r="B17" s="4" t="s">
        <v>23</v>
      </c>
      <c r="C17" s="4">
        <v>8</v>
      </c>
      <c r="D17" s="4">
        <v>7</v>
      </c>
      <c r="E17" s="6">
        <v>2.94</v>
      </c>
      <c r="F17" s="4">
        <v>7.46</v>
      </c>
      <c r="G17" s="5">
        <v>11.5</v>
      </c>
      <c r="H17" s="5">
        <v>36</v>
      </c>
      <c r="I17" s="5">
        <v>48.2</v>
      </c>
      <c r="J17" s="5">
        <v>15.4</v>
      </c>
      <c r="K17" s="5">
        <v>31.9</v>
      </c>
      <c r="L17" s="4">
        <v>977</v>
      </c>
      <c r="M17" s="5">
        <v>5.2</v>
      </c>
      <c r="N17" s="5">
        <v>27.6</v>
      </c>
      <c r="O17" s="5">
        <v>54.81</v>
      </c>
      <c r="P17" s="5">
        <v>5.86</v>
      </c>
      <c r="Q17" s="5">
        <v>10.56</v>
      </c>
      <c r="R17" s="5">
        <v>1.17</v>
      </c>
      <c r="S17" s="4"/>
      <c r="T17" s="4"/>
      <c r="U17" s="4"/>
      <c r="V17" s="6">
        <v>0.81</v>
      </c>
      <c r="W17" s="6">
        <v>1.61</v>
      </c>
      <c r="X17" s="6">
        <v>0.17</v>
      </c>
      <c r="Y17" s="6">
        <v>0.31</v>
      </c>
      <c r="Z17" s="6">
        <v>0.03</v>
      </c>
    </row>
    <row r="18" spans="1:26" x14ac:dyDescent="0.25">
      <c r="A18" s="4">
        <v>1976</v>
      </c>
      <c r="B18" s="4" t="s">
        <v>23</v>
      </c>
      <c r="C18" s="4">
        <v>8</v>
      </c>
      <c r="D18" s="4">
        <v>8</v>
      </c>
      <c r="E18" s="6">
        <v>3.72</v>
      </c>
      <c r="F18" s="4">
        <v>7.84</v>
      </c>
      <c r="G18" s="5">
        <v>11.5</v>
      </c>
      <c r="H18" s="5">
        <v>38.6</v>
      </c>
      <c r="I18" s="5">
        <v>49.2</v>
      </c>
      <c r="J18" s="5">
        <v>14.7</v>
      </c>
      <c r="K18" s="5">
        <v>29.8</v>
      </c>
      <c r="L18" s="4">
        <v>972</v>
      </c>
      <c r="M18" s="5">
        <v>5</v>
      </c>
      <c r="N18" s="5">
        <v>20.440000000000001</v>
      </c>
      <c r="O18" s="5">
        <v>67.98</v>
      </c>
      <c r="P18" s="5">
        <v>7.02</v>
      </c>
      <c r="Q18" s="5">
        <v>2.97</v>
      </c>
      <c r="R18" s="5">
        <v>1.59</v>
      </c>
      <c r="S18" s="4"/>
      <c r="T18" s="4"/>
      <c r="U18" s="4"/>
      <c r="V18" s="6">
        <v>0.76</v>
      </c>
      <c r="W18" s="6">
        <v>2.5299999999999998</v>
      </c>
      <c r="X18" s="6">
        <v>0.26</v>
      </c>
      <c r="Y18" s="6">
        <v>0.11</v>
      </c>
      <c r="Z18" s="6">
        <v>0.06</v>
      </c>
    </row>
    <row r="19" spans="1:26" x14ac:dyDescent="0.25">
      <c r="A19" s="4">
        <v>1976</v>
      </c>
      <c r="B19" s="4" t="s">
        <v>23</v>
      </c>
      <c r="C19" s="4">
        <v>8</v>
      </c>
      <c r="D19" s="4">
        <v>9</v>
      </c>
      <c r="E19" s="6">
        <v>3.44</v>
      </c>
      <c r="F19" s="4">
        <v>7.55</v>
      </c>
      <c r="G19" s="5">
        <v>11.5</v>
      </c>
      <c r="H19" s="5">
        <v>37.200000000000003</v>
      </c>
      <c r="I19" s="5">
        <v>49.3</v>
      </c>
      <c r="J19" s="5">
        <v>15.2</v>
      </c>
      <c r="K19" s="5">
        <v>30.9</v>
      </c>
      <c r="L19" s="4">
        <v>960</v>
      </c>
      <c r="M19" s="5">
        <v>5</v>
      </c>
      <c r="N19" s="5">
        <v>21.89</v>
      </c>
      <c r="O19" s="5">
        <v>67.599999999999994</v>
      </c>
      <c r="P19" s="5">
        <v>9.4499999999999993</v>
      </c>
      <c r="Q19" s="5">
        <v>0.77</v>
      </c>
      <c r="R19" s="5">
        <v>0.28999999999999998</v>
      </c>
      <c r="S19" s="4"/>
      <c r="T19" s="4"/>
      <c r="U19" s="4"/>
      <c r="V19" s="6">
        <v>0.75</v>
      </c>
      <c r="W19" s="6">
        <v>2.33</v>
      </c>
      <c r="X19" s="6">
        <v>0.33</v>
      </c>
      <c r="Y19" s="6">
        <v>0.03</v>
      </c>
      <c r="Z19" s="6">
        <v>0.01</v>
      </c>
    </row>
    <row r="20" spans="1:26" x14ac:dyDescent="0.25">
      <c r="A20" s="4">
        <v>1976</v>
      </c>
      <c r="B20" s="4" t="s">
        <v>23</v>
      </c>
      <c r="C20" s="4">
        <v>8</v>
      </c>
      <c r="D20" s="4">
        <v>10</v>
      </c>
      <c r="E20" s="6">
        <v>2.94</v>
      </c>
      <c r="F20" s="4">
        <v>7.77</v>
      </c>
      <c r="G20" s="5">
        <v>11.7</v>
      </c>
      <c r="H20" s="5">
        <v>38.4</v>
      </c>
      <c r="I20" s="5">
        <v>49.4</v>
      </c>
      <c r="J20" s="5">
        <v>15.1</v>
      </c>
      <c r="K20" s="5">
        <v>30.5</v>
      </c>
      <c r="L20" s="4">
        <v>370</v>
      </c>
      <c r="M20" s="5">
        <v>5.0999999999999996</v>
      </c>
      <c r="N20" s="5">
        <v>26.42</v>
      </c>
      <c r="O20" s="5">
        <v>60.31</v>
      </c>
      <c r="P20" s="5">
        <v>11.19</v>
      </c>
      <c r="Q20" s="5">
        <v>1.79</v>
      </c>
      <c r="R20" s="5">
        <v>0.28999999999999998</v>
      </c>
      <c r="S20" s="4"/>
      <c r="T20" s="4"/>
      <c r="U20" s="4"/>
      <c r="V20" s="6">
        <v>0.78</v>
      </c>
      <c r="W20" s="6">
        <v>1.77</v>
      </c>
      <c r="X20" s="6">
        <v>0.33</v>
      </c>
      <c r="Y20" s="6">
        <v>0.05</v>
      </c>
      <c r="Z20" s="6">
        <v>0.01</v>
      </c>
    </row>
    <row r="21" spans="1:26" x14ac:dyDescent="0.25">
      <c r="A21" s="4">
        <v>1976</v>
      </c>
      <c r="B21" s="4" t="s">
        <v>23</v>
      </c>
      <c r="C21" s="4">
        <v>8</v>
      </c>
      <c r="D21" s="4">
        <v>11</v>
      </c>
      <c r="E21" s="6">
        <v>3.98</v>
      </c>
      <c r="F21" s="4">
        <v>7.99</v>
      </c>
      <c r="G21" s="5">
        <v>11.9</v>
      </c>
      <c r="H21" s="5">
        <v>38.1</v>
      </c>
      <c r="I21" s="5">
        <v>47.7</v>
      </c>
      <c r="J21" s="5">
        <v>14.9</v>
      </c>
      <c r="K21" s="5">
        <v>31.2</v>
      </c>
      <c r="L21" s="4">
        <v>1001</v>
      </c>
      <c r="M21" s="5">
        <v>4.9000000000000004</v>
      </c>
      <c r="N21" s="5">
        <v>22.33</v>
      </c>
      <c r="O21" s="5">
        <v>67.45</v>
      </c>
      <c r="P21" s="5">
        <v>8.6199999999999992</v>
      </c>
      <c r="Q21" s="5">
        <v>1.51</v>
      </c>
      <c r="R21" s="5">
        <v>0.08</v>
      </c>
      <c r="S21" s="4"/>
      <c r="T21" s="4"/>
      <c r="U21" s="4"/>
      <c r="V21" s="6">
        <v>0.89</v>
      </c>
      <c r="W21" s="6">
        <v>2.68</v>
      </c>
      <c r="X21" s="6">
        <v>0.34</v>
      </c>
      <c r="Y21" s="6">
        <v>0.06</v>
      </c>
      <c r="Z21" s="6">
        <v>0</v>
      </c>
    </row>
    <row r="22" spans="1:26" x14ac:dyDescent="0.25">
      <c r="A22" s="4">
        <v>1976</v>
      </c>
      <c r="B22" s="4" t="s">
        <v>22</v>
      </c>
      <c r="C22" s="4">
        <v>16</v>
      </c>
      <c r="D22" s="4">
        <v>1</v>
      </c>
      <c r="E22" s="6">
        <v>1.4</v>
      </c>
      <c r="F22" s="6">
        <v>7.31</v>
      </c>
      <c r="G22" s="5">
        <v>12.7</v>
      </c>
      <c r="H22" s="5">
        <v>37.299999999999997</v>
      </c>
      <c r="I22" s="5">
        <v>51.1</v>
      </c>
      <c r="J22" s="5">
        <v>17.3</v>
      </c>
      <c r="K22" s="5">
        <v>33.9</v>
      </c>
      <c r="L22" s="4">
        <v>1059</v>
      </c>
      <c r="M22" s="5">
        <v>5.0999999999999996</v>
      </c>
      <c r="N22" s="5">
        <v>30</v>
      </c>
      <c r="O22" s="5">
        <v>61.8</v>
      </c>
      <c r="P22" s="5">
        <v>1.2</v>
      </c>
      <c r="Q22" s="5">
        <v>5.6</v>
      </c>
      <c r="R22" s="5">
        <v>0.5</v>
      </c>
      <c r="S22" s="6">
        <v>5.05</v>
      </c>
      <c r="T22" s="5">
        <v>369</v>
      </c>
      <c r="U22" s="5">
        <v>16.899999999999999</v>
      </c>
      <c r="V22" s="6">
        <v>0.42</v>
      </c>
      <c r="W22" s="6">
        <v>0.87</v>
      </c>
      <c r="X22" s="6">
        <v>0.02</v>
      </c>
      <c r="Y22" s="6">
        <v>0.08</v>
      </c>
      <c r="Z22" s="6">
        <v>0.01</v>
      </c>
    </row>
    <row r="23" spans="1:26" x14ac:dyDescent="0.25">
      <c r="A23" s="4">
        <v>1976</v>
      </c>
      <c r="B23" s="4" t="s">
        <v>22</v>
      </c>
      <c r="C23" s="4">
        <v>16</v>
      </c>
      <c r="D23" s="4">
        <v>2</v>
      </c>
      <c r="E23" s="6">
        <v>0.78</v>
      </c>
      <c r="F23" s="6">
        <v>7.06</v>
      </c>
      <c r="G23" s="5">
        <v>12.2</v>
      </c>
      <c r="H23" s="5">
        <v>34.6</v>
      </c>
      <c r="I23" s="5">
        <v>49.2</v>
      </c>
      <c r="J23" s="5">
        <v>17.399999999999999</v>
      </c>
      <c r="K23" s="5">
        <v>35.4</v>
      </c>
      <c r="L23" s="4">
        <v>996</v>
      </c>
      <c r="M23" s="5">
        <v>5</v>
      </c>
      <c r="N23" s="5">
        <v>35.299999999999997</v>
      </c>
      <c r="O23" s="5">
        <v>45.7</v>
      </c>
      <c r="P23" s="5">
        <v>13.2</v>
      </c>
      <c r="Q23" s="5">
        <v>4.7</v>
      </c>
      <c r="R23" s="5">
        <v>0</v>
      </c>
      <c r="S23" s="6">
        <v>5.23</v>
      </c>
      <c r="T23" s="5">
        <v>369.2</v>
      </c>
      <c r="U23" s="5">
        <v>16.8</v>
      </c>
      <c r="V23" s="6">
        <v>0.28000000000000003</v>
      </c>
      <c r="W23" s="6">
        <v>0.36</v>
      </c>
      <c r="X23" s="6">
        <v>0.1</v>
      </c>
      <c r="Y23" s="6">
        <v>0.04</v>
      </c>
      <c r="Z23" s="6">
        <v>0</v>
      </c>
    </row>
    <row r="24" spans="1:26" x14ac:dyDescent="0.25">
      <c r="A24" s="4">
        <v>1976</v>
      </c>
      <c r="B24" s="4" t="s">
        <v>22</v>
      </c>
      <c r="C24" s="4">
        <v>16</v>
      </c>
      <c r="D24" s="4">
        <v>3</v>
      </c>
      <c r="E24" s="6">
        <v>3.34</v>
      </c>
      <c r="F24" s="6">
        <v>7.65</v>
      </c>
      <c r="G24" s="5">
        <v>12.6</v>
      </c>
      <c r="H24" s="5">
        <v>39.700000000000003</v>
      </c>
      <c r="I24" s="5">
        <v>51.9</v>
      </c>
      <c r="J24" s="5">
        <v>16.5</v>
      </c>
      <c r="K24" s="5">
        <v>31.8</v>
      </c>
      <c r="L24" s="4">
        <v>1126</v>
      </c>
      <c r="M24" s="5">
        <v>5.5</v>
      </c>
      <c r="N24" s="5">
        <v>62.6</v>
      </c>
      <c r="O24" s="5">
        <v>31.6</v>
      </c>
      <c r="P24" s="5">
        <v>2</v>
      </c>
      <c r="Q24" s="5">
        <v>3.4</v>
      </c>
      <c r="R24" s="5">
        <v>0.3</v>
      </c>
      <c r="S24" s="6">
        <v>5.56</v>
      </c>
      <c r="T24" s="5">
        <v>425.8</v>
      </c>
      <c r="U24" s="5">
        <v>17</v>
      </c>
      <c r="V24" s="6">
        <v>2.09</v>
      </c>
      <c r="W24" s="6">
        <v>1.06</v>
      </c>
      <c r="X24" s="6">
        <v>7.0000000000000007E-2</v>
      </c>
      <c r="Y24" s="6">
        <v>0.11</v>
      </c>
      <c r="Z24" s="6">
        <v>0.01</v>
      </c>
    </row>
    <row r="25" spans="1:26" x14ac:dyDescent="0.25">
      <c r="A25" s="4">
        <v>1976</v>
      </c>
      <c r="B25" s="4" t="s">
        <v>22</v>
      </c>
      <c r="C25" s="4">
        <v>16</v>
      </c>
      <c r="D25" s="4">
        <v>4</v>
      </c>
      <c r="E25" s="6">
        <v>0.46</v>
      </c>
      <c r="F25" s="6">
        <v>6.72</v>
      </c>
      <c r="G25" s="5">
        <v>11.8</v>
      </c>
      <c r="H25" s="5">
        <v>34</v>
      </c>
      <c r="I25" s="5">
        <v>50.7</v>
      </c>
      <c r="J25" s="5">
        <v>17.5</v>
      </c>
      <c r="K25" s="5">
        <v>34.4</v>
      </c>
      <c r="L25" s="4">
        <v>828</v>
      </c>
      <c r="M25" s="5">
        <v>5.3</v>
      </c>
      <c r="N25" s="5">
        <v>40.5</v>
      </c>
      <c r="O25" s="5">
        <v>51.6</v>
      </c>
      <c r="P25" s="5">
        <v>1.2</v>
      </c>
      <c r="Q25" s="5">
        <v>6</v>
      </c>
      <c r="R25" s="5">
        <v>0</v>
      </c>
      <c r="S25" s="6">
        <v>4.54</v>
      </c>
      <c r="T25" s="5">
        <v>305.2</v>
      </c>
      <c r="U25" s="5">
        <v>17.2</v>
      </c>
      <c r="V25" s="6">
        <v>0.18</v>
      </c>
      <c r="W25" s="6">
        <v>0.24</v>
      </c>
      <c r="X25" s="6">
        <v>0</v>
      </c>
      <c r="Y25" s="6">
        <v>0.02</v>
      </c>
      <c r="Z25" s="6">
        <v>0</v>
      </c>
    </row>
    <row r="26" spans="1:26" x14ac:dyDescent="0.25">
      <c r="A26" s="4">
        <v>1976</v>
      </c>
      <c r="B26" s="4" t="s">
        <v>22</v>
      </c>
      <c r="C26" s="4">
        <v>16</v>
      </c>
      <c r="D26" s="4">
        <v>5</v>
      </c>
      <c r="E26" s="6">
        <v>0.4</v>
      </c>
      <c r="F26" s="6">
        <v>6.18</v>
      </c>
      <c r="G26" s="5">
        <v>10.6</v>
      </c>
      <c r="H26" s="5">
        <v>32.200000000000003</v>
      </c>
      <c r="I26" s="5">
        <v>52.2</v>
      </c>
      <c r="J26" s="5">
        <v>17.100000000000001</v>
      </c>
      <c r="K26" s="5">
        <v>32.700000000000003</v>
      </c>
      <c r="L26" s="4">
        <v>550</v>
      </c>
      <c r="M26" s="5">
        <v>4.8</v>
      </c>
      <c r="N26" s="5">
        <v>34.5</v>
      </c>
      <c r="O26" s="5">
        <v>55.3</v>
      </c>
      <c r="P26" s="5">
        <v>2</v>
      </c>
      <c r="Q26" s="5">
        <v>7.1</v>
      </c>
      <c r="R26" s="5">
        <v>0</v>
      </c>
      <c r="S26" s="6">
        <v>7.09</v>
      </c>
      <c r="T26" s="5">
        <v>437.6</v>
      </c>
      <c r="U26" s="5">
        <v>16.399999999999999</v>
      </c>
      <c r="V26" s="6">
        <v>0.14000000000000001</v>
      </c>
      <c r="W26" s="6">
        <v>0.22</v>
      </c>
      <c r="X26" s="6">
        <v>0</v>
      </c>
      <c r="Y26" s="6">
        <v>0.02</v>
      </c>
      <c r="Z26" s="6">
        <v>0</v>
      </c>
    </row>
    <row r="27" spans="1:26" x14ac:dyDescent="0.25">
      <c r="A27" s="4">
        <v>1976</v>
      </c>
      <c r="B27" s="4" t="s">
        <v>22</v>
      </c>
      <c r="C27" s="4">
        <v>16</v>
      </c>
      <c r="D27" s="4">
        <v>6</v>
      </c>
      <c r="E27" s="6">
        <v>1.1399999999999999</v>
      </c>
      <c r="F27" s="6">
        <v>5.78</v>
      </c>
      <c r="G27" s="5">
        <v>10.199999999999999</v>
      </c>
      <c r="H27" s="5">
        <v>30.2</v>
      </c>
      <c r="I27" s="5">
        <v>52.3</v>
      </c>
      <c r="J27" s="5">
        <v>17.600000000000001</v>
      </c>
      <c r="K27" s="5">
        <v>33.6</v>
      </c>
      <c r="L27" s="4">
        <v>442</v>
      </c>
      <c r="M27" s="5">
        <v>5.3</v>
      </c>
      <c r="N27" s="5">
        <v>64.099999999999994</v>
      </c>
      <c r="O27" s="5">
        <v>28.3</v>
      </c>
      <c r="P27" s="5">
        <v>2</v>
      </c>
      <c r="Q27" s="5">
        <v>4.9000000000000004</v>
      </c>
      <c r="R27" s="5">
        <v>0</v>
      </c>
      <c r="S27" s="6">
        <v>6.5</v>
      </c>
      <c r="T27" s="5">
        <v>376.2</v>
      </c>
      <c r="U27" s="5">
        <v>17</v>
      </c>
      <c r="V27" s="6">
        <v>0.74</v>
      </c>
      <c r="W27" s="6">
        <v>0.32</v>
      </c>
      <c r="X27" s="6">
        <v>0.02</v>
      </c>
      <c r="Y27" s="6">
        <v>0.06</v>
      </c>
      <c r="Z27" s="6">
        <v>0</v>
      </c>
    </row>
    <row r="28" spans="1:26" x14ac:dyDescent="0.25">
      <c r="A28" s="4">
        <v>1976</v>
      </c>
      <c r="B28" s="4" t="s">
        <v>22</v>
      </c>
      <c r="C28" s="4">
        <v>16</v>
      </c>
      <c r="D28" s="4">
        <v>7</v>
      </c>
      <c r="E28" s="6">
        <v>1.7</v>
      </c>
      <c r="F28" s="6">
        <v>6.74</v>
      </c>
      <c r="G28" s="5">
        <v>11.1</v>
      </c>
      <c r="H28" s="5">
        <v>35.299999999999997</v>
      </c>
      <c r="I28" s="5">
        <v>52.4</v>
      </c>
      <c r="J28" s="5">
        <v>16.5</v>
      </c>
      <c r="K28" s="5">
        <v>31.6</v>
      </c>
      <c r="L28" s="4">
        <v>1169</v>
      </c>
      <c r="M28" s="5">
        <v>5.8</v>
      </c>
      <c r="N28" s="5">
        <v>63.9</v>
      </c>
      <c r="O28" s="5">
        <v>28.1</v>
      </c>
      <c r="P28" s="5">
        <v>1.3</v>
      </c>
      <c r="Q28" s="5">
        <v>6.1</v>
      </c>
      <c r="R28" s="5">
        <v>0.4</v>
      </c>
      <c r="S28" s="6">
        <v>8.1300000000000008</v>
      </c>
      <c r="T28" s="5">
        <v>548.20000000000005</v>
      </c>
      <c r="U28" s="5">
        <v>16.100000000000001</v>
      </c>
      <c r="V28" s="6">
        <v>1.08</v>
      </c>
      <c r="W28" s="6">
        <v>0.48</v>
      </c>
      <c r="X28" s="6">
        <v>0.02</v>
      </c>
      <c r="Y28" s="6">
        <v>0.1</v>
      </c>
      <c r="Z28" s="6">
        <v>0.01</v>
      </c>
    </row>
    <row r="29" spans="1:26" x14ac:dyDescent="0.25">
      <c r="A29" s="4">
        <v>1976</v>
      </c>
      <c r="B29" s="4" t="s">
        <v>22</v>
      </c>
      <c r="C29" s="4">
        <v>16</v>
      </c>
      <c r="D29" s="4">
        <v>8</v>
      </c>
      <c r="E29" s="6">
        <v>0.93</v>
      </c>
      <c r="F29" s="6">
        <v>7.18</v>
      </c>
      <c r="G29" s="5">
        <v>12.3</v>
      </c>
      <c r="H29" s="5">
        <v>37.200000000000003</v>
      </c>
      <c r="I29" s="5">
        <v>51.9</v>
      </c>
      <c r="J29" s="5">
        <v>17.100000000000001</v>
      </c>
      <c r="K29" s="5">
        <v>32.9</v>
      </c>
      <c r="L29" s="4">
        <v>1147</v>
      </c>
      <c r="M29" s="5">
        <v>5.5</v>
      </c>
      <c r="N29" s="5">
        <v>39</v>
      </c>
      <c r="O29" s="5">
        <v>54.5</v>
      </c>
      <c r="P29" s="5">
        <v>1.5</v>
      </c>
      <c r="Q29" s="5">
        <v>4.4000000000000004</v>
      </c>
      <c r="R29" s="5">
        <v>1.3</v>
      </c>
      <c r="S29" s="6">
        <v>7.75</v>
      </c>
      <c r="T29" s="5">
        <v>556.70000000000005</v>
      </c>
      <c r="U29" s="5">
        <v>16.2</v>
      </c>
      <c r="V29" s="6">
        <v>0.36</v>
      </c>
      <c r="W29" s="6">
        <v>0.51</v>
      </c>
      <c r="X29" s="6">
        <v>0.01</v>
      </c>
      <c r="Y29" s="6">
        <v>0.04</v>
      </c>
      <c r="Z29" s="6">
        <v>0.01</v>
      </c>
    </row>
    <row r="30" spans="1:26" x14ac:dyDescent="0.25">
      <c r="A30" s="4">
        <v>1976</v>
      </c>
      <c r="B30" s="4" t="s">
        <v>22</v>
      </c>
      <c r="C30" s="4">
        <v>16</v>
      </c>
      <c r="D30" s="4">
        <v>9</v>
      </c>
      <c r="E30" s="6">
        <v>2.2200000000000002</v>
      </c>
      <c r="F30" s="4">
        <v>7.99</v>
      </c>
      <c r="G30" s="5">
        <v>12.9</v>
      </c>
      <c r="H30" s="5">
        <v>38.799999999999997</v>
      </c>
      <c r="I30" s="5">
        <v>48.6</v>
      </c>
      <c r="J30" s="5">
        <v>16.100000000000001</v>
      </c>
      <c r="K30" s="5">
        <v>33.200000000000003</v>
      </c>
      <c r="L30" s="4">
        <v>460</v>
      </c>
      <c r="M30" s="5">
        <v>5</v>
      </c>
      <c r="N30" s="5">
        <v>16.86</v>
      </c>
      <c r="O30" s="5">
        <v>65.989999999999995</v>
      </c>
      <c r="P30" s="5">
        <v>12.86</v>
      </c>
      <c r="Q30" s="5">
        <v>3.94</v>
      </c>
      <c r="R30" s="5">
        <v>0.35</v>
      </c>
      <c r="S30" s="4"/>
      <c r="T30" s="4"/>
      <c r="U30" s="4"/>
      <c r="V30" s="6">
        <v>0.37</v>
      </c>
      <c r="W30" s="6">
        <v>1.46</v>
      </c>
      <c r="X30" s="6">
        <v>0.28999999999999998</v>
      </c>
      <c r="Y30" s="6">
        <v>0.09</v>
      </c>
      <c r="Z30" s="6">
        <v>0.01</v>
      </c>
    </row>
    <row r="31" spans="1:26" x14ac:dyDescent="0.25">
      <c r="A31" s="4">
        <v>1976</v>
      </c>
      <c r="B31" s="4" t="s">
        <v>22</v>
      </c>
      <c r="C31" s="4">
        <v>16</v>
      </c>
      <c r="D31" s="4">
        <v>10</v>
      </c>
      <c r="E31" s="6">
        <v>2.14</v>
      </c>
      <c r="F31" s="4">
        <v>9.0399999999999991</v>
      </c>
      <c r="G31" s="5">
        <v>14.3</v>
      </c>
      <c r="H31" s="5">
        <v>44.7</v>
      </c>
      <c r="I31" s="5">
        <v>49.4</v>
      </c>
      <c r="J31" s="5">
        <v>15.8</v>
      </c>
      <c r="K31" s="5">
        <v>32</v>
      </c>
      <c r="L31" s="4">
        <v>842</v>
      </c>
      <c r="M31" s="5">
        <v>5.0999999999999996</v>
      </c>
      <c r="N31" s="5">
        <v>30.95</v>
      </c>
      <c r="O31" s="5">
        <v>61.67</v>
      </c>
      <c r="P31" s="5">
        <v>5.6</v>
      </c>
      <c r="Q31" s="5">
        <v>1.71</v>
      </c>
      <c r="R31" s="5">
        <v>7.0000000000000007E-2</v>
      </c>
      <c r="S31" s="4"/>
      <c r="T31" s="4"/>
      <c r="U31" s="4"/>
      <c r="V31" s="6">
        <v>0.66</v>
      </c>
      <c r="W31" s="6">
        <v>1.32</v>
      </c>
      <c r="X31" s="6">
        <v>0.12</v>
      </c>
      <c r="Y31" s="6">
        <v>0.04</v>
      </c>
      <c r="Z31" s="6">
        <v>0</v>
      </c>
    </row>
    <row r="32" spans="1:26" x14ac:dyDescent="0.25">
      <c r="A32" s="4">
        <v>1976</v>
      </c>
      <c r="B32" s="4" t="s">
        <v>22</v>
      </c>
      <c r="C32" s="4">
        <v>16</v>
      </c>
      <c r="D32" s="4">
        <v>11</v>
      </c>
      <c r="E32" s="6">
        <v>2.56</v>
      </c>
      <c r="F32" s="4">
        <v>7.63</v>
      </c>
      <c r="G32" s="5">
        <v>12.2</v>
      </c>
      <c r="H32" s="5">
        <v>37.5</v>
      </c>
      <c r="I32" s="5">
        <v>49.2</v>
      </c>
      <c r="J32" s="5">
        <v>16</v>
      </c>
      <c r="K32" s="5">
        <v>32.5</v>
      </c>
      <c r="L32" s="4">
        <v>607</v>
      </c>
      <c r="M32" s="5">
        <v>5.3</v>
      </c>
      <c r="N32" s="5">
        <v>14.98</v>
      </c>
      <c r="O32" s="5">
        <v>77.400000000000006</v>
      </c>
      <c r="P32" s="5">
        <v>7.03</v>
      </c>
      <c r="Q32" s="5">
        <v>0.57999999999999996</v>
      </c>
      <c r="R32" s="5">
        <v>0</v>
      </c>
      <c r="S32" s="4"/>
      <c r="T32" s="4"/>
      <c r="U32" s="4"/>
      <c r="V32" s="6">
        <v>0.38</v>
      </c>
      <c r="W32" s="6">
        <v>1.98</v>
      </c>
      <c r="X32" s="6">
        <v>0.18</v>
      </c>
      <c r="Y32" s="6">
        <v>0.01</v>
      </c>
      <c r="Z32" s="6">
        <v>0</v>
      </c>
    </row>
    <row r="33" spans="1:26" x14ac:dyDescent="0.25">
      <c r="A33" s="4">
        <v>1976</v>
      </c>
      <c r="B33" s="4" t="s">
        <v>22</v>
      </c>
      <c r="C33" s="4">
        <v>16</v>
      </c>
      <c r="D33" s="4">
        <v>12</v>
      </c>
      <c r="E33" s="6">
        <v>3.88</v>
      </c>
      <c r="F33" s="4">
        <v>7.57</v>
      </c>
      <c r="G33" s="5">
        <v>12.4</v>
      </c>
      <c r="H33" s="5">
        <v>36.299999999999997</v>
      </c>
      <c r="I33" s="5">
        <v>48</v>
      </c>
      <c r="J33" s="5">
        <v>16.399999999999999</v>
      </c>
      <c r="K33" s="5">
        <v>34.200000000000003</v>
      </c>
      <c r="L33" s="4">
        <v>836</v>
      </c>
      <c r="M33" s="5">
        <v>5.3</v>
      </c>
      <c r="N33" s="5">
        <v>17.59</v>
      </c>
      <c r="O33" s="5">
        <v>68.239999999999995</v>
      </c>
      <c r="P33" s="5">
        <v>8.31</v>
      </c>
      <c r="Q33" s="5">
        <v>4.49</v>
      </c>
      <c r="R33" s="5">
        <v>1.37</v>
      </c>
      <c r="S33" s="4"/>
      <c r="T33" s="4"/>
      <c r="U33" s="4"/>
      <c r="V33" s="6">
        <v>0.68</v>
      </c>
      <c r="W33" s="6">
        <v>2.65</v>
      </c>
      <c r="X33" s="6">
        <v>0.32</v>
      </c>
      <c r="Y33" s="6">
        <v>0.17</v>
      </c>
      <c r="Z33" s="6">
        <v>0.05</v>
      </c>
    </row>
    <row r="34" spans="1:26" x14ac:dyDescent="0.25">
      <c r="A34" s="4">
        <v>1976</v>
      </c>
      <c r="B34" s="4" t="s">
        <v>22</v>
      </c>
      <c r="C34" s="4">
        <v>16</v>
      </c>
      <c r="D34" s="4">
        <v>13</v>
      </c>
      <c r="E34" s="6">
        <v>2.44</v>
      </c>
      <c r="F34" s="4">
        <v>7.34</v>
      </c>
      <c r="G34" s="5">
        <v>11.5</v>
      </c>
      <c r="H34" s="5">
        <v>35.700000000000003</v>
      </c>
      <c r="I34" s="5">
        <v>48.6</v>
      </c>
      <c r="J34" s="5">
        <v>15.7</v>
      </c>
      <c r="K34" s="5">
        <v>32.200000000000003</v>
      </c>
      <c r="L34" s="4">
        <v>918</v>
      </c>
      <c r="M34" s="5">
        <v>5.0999999999999996</v>
      </c>
      <c r="N34" s="5">
        <v>13.28</v>
      </c>
      <c r="O34" s="5">
        <v>76.53</v>
      </c>
      <c r="P34" s="5">
        <v>8.82</v>
      </c>
      <c r="Q34" s="5">
        <v>1.3</v>
      </c>
      <c r="R34" s="5">
        <v>0.06</v>
      </c>
      <c r="S34" s="4"/>
      <c r="T34" s="4"/>
      <c r="U34" s="4"/>
      <c r="V34" s="6">
        <v>0.32</v>
      </c>
      <c r="W34" s="6">
        <v>1.87</v>
      </c>
      <c r="X34" s="6">
        <v>0.22</v>
      </c>
      <c r="Y34" s="6">
        <v>0.03</v>
      </c>
      <c r="Z34" s="6">
        <v>0</v>
      </c>
    </row>
    <row r="35" spans="1:26" x14ac:dyDescent="0.25">
      <c r="A35" s="4">
        <v>1976</v>
      </c>
      <c r="B35" s="4" t="s">
        <v>22</v>
      </c>
      <c r="C35" s="4">
        <v>16</v>
      </c>
      <c r="D35" s="4">
        <v>14</v>
      </c>
      <c r="E35" s="6">
        <v>2.54</v>
      </c>
      <c r="F35" s="4">
        <v>6.97</v>
      </c>
      <c r="G35" s="5">
        <v>10.8</v>
      </c>
      <c r="H35" s="5">
        <v>33.1</v>
      </c>
      <c r="I35" s="5">
        <v>47.5</v>
      </c>
      <c r="J35" s="5">
        <v>15.5</v>
      </c>
      <c r="K35" s="5">
        <v>32.6</v>
      </c>
      <c r="L35" s="4">
        <v>959</v>
      </c>
      <c r="M35" s="5">
        <v>5</v>
      </c>
      <c r="N35" s="5">
        <v>15.28</v>
      </c>
      <c r="O35" s="5">
        <v>72.86</v>
      </c>
      <c r="P35" s="5">
        <v>8.93</v>
      </c>
      <c r="Q35" s="5">
        <v>2.67</v>
      </c>
      <c r="R35" s="5">
        <v>0.26</v>
      </c>
      <c r="S35" s="4"/>
      <c r="T35" s="4"/>
      <c r="U35" s="4"/>
      <c r="V35" s="6">
        <v>0.39</v>
      </c>
      <c r="W35" s="6">
        <v>1.85</v>
      </c>
      <c r="X35" s="6">
        <v>0.23</v>
      </c>
      <c r="Y35" s="6">
        <v>7.0000000000000007E-2</v>
      </c>
      <c r="Z35" s="6">
        <v>0.01</v>
      </c>
    </row>
    <row r="36" spans="1:26" x14ac:dyDescent="0.25">
      <c r="A36" s="4">
        <v>1976</v>
      </c>
      <c r="B36" s="4" t="s">
        <v>22</v>
      </c>
      <c r="C36" s="4">
        <v>16</v>
      </c>
      <c r="D36" s="4">
        <v>15</v>
      </c>
      <c r="E36" s="6">
        <v>3.24</v>
      </c>
      <c r="F36" s="4">
        <v>6.96</v>
      </c>
      <c r="G36" s="5">
        <v>11.2</v>
      </c>
      <c r="H36" s="5">
        <v>34</v>
      </c>
      <c r="I36" s="5">
        <v>48.9</v>
      </c>
      <c r="J36" s="5">
        <v>16.100000000000001</v>
      </c>
      <c r="K36" s="5">
        <v>32.9</v>
      </c>
      <c r="L36" s="4">
        <v>962</v>
      </c>
      <c r="M36" s="5">
        <v>4.9000000000000004</v>
      </c>
      <c r="N36" s="5">
        <v>14.76</v>
      </c>
      <c r="O36" s="5">
        <v>77.400000000000006</v>
      </c>
      <c r="P36" s="5">
        <v>7.5</v>
      </c>
      <c r="Q36" s="5">
        <v>0.34</v>
      </c>
      <c r="R36" s="5">
        <v>0</v>
      </c>
      <c r="S36" s="4"/>
      <c r="T36" s="4"/>
      <c r="U36" s="4"/>
      <c r="V36" s="6">
        <v>0.48</v>
      </c>
      <c r="W36" s="6">
        <v>2.5099999999999998</v>
      </c>
      <c r="X36" s="6">
        <v>0.24</v>
      </c>
      <c r="Y36" s="6">
        <v>0.01</v>
      </c>
      <c r="Z36" s="6">
        <v>0</v>
      </c>
    </row>
    <row r="37" spans="1:26" x14ac:dyDescent="0.25">
      <c r="A37" s="4">
        <v>1976</v>
      </c>
      <c r="B37" s="4" t="s">
        <v>22</v>
      </c>
      <c r="C37" s="4">
        <v>16</v>
      </c>
      <c r="D37" s="4">
        <v>16</v>
      </c>
      <c r="E37" s="6">
        <v>4.0199999999999996</v>
      </c>
      <c r="F37" s="4">
        <v>7.31</v>
      </c>
      <c r="G37" s="5">
        <v>11.7</v>
      </c>
      <c r="H37" s="5">
        <v>36.799999999999997</v>
      </c>
      <c r="I37" s="5">
        <v>50.3</v>
      </c>
      <c r="J37" s="5">
        <v>16</v>
      </c>
      <c r="K37" s="5">
        <v>31.8</v>
      </c>
      <c r="L37" s="4">
        <v>632</v>
      </c>
      <c r="M37" s="5">
        <v>5.0999999999999996</v>
      </c>
      <c r="N37" s="5">
        <v>16.600000000000001</v>
      </c>
      <c r="O37" s="5">
        <v>73.25</v>
      </c>
      <c r="P37" s="5">
        <v>6.48</v>
      </c>
      <c r="Q37" s="5">
        <v>3.11</v>
      </c>
      <c r="R37" s="5">
        <v>0.56999999999999995</v>
      </c>
      <c r="S37" s="4"/>
      <c r="T37" s="4"/>
      <c r="U37" s="4"/>
      <c r="V37" s="6">
        <v>0.67</v>
      </c>
      <c r="W37" s="6">
        <v>2.94</v>
      </c>
      <c r="X37" s="6">
        <v>0.26</v>
      </c>
      <c r="Y37" s="6">
        <v>0.13</v>
      </c>
      <c r="Z37" s="6">
        <v>0.02</v>
      </c>
    </row>
    <row r="38" spans="1:26" x14ac:dyDescent="0.25">
      <c r="A38" s="4">
        <v>1976</v>
      </c>
      <c r="B38" s="4" t="s">
        <v>23</v>
      </c>
      <c r="C38" s="4">
        <v>16</v>
      </c>
      <c r="D38" s="4">
        <v>1</v>
      </c>
      <c r="E38" s="6">
        <v>1.0900000000000001</v>
      </c>
      <c r="F38" s="6">
        <v>7.33</v>
      </c>
      <c r="G38" s="5">
        <v>11.7</v>
      </c>
      <c r="H38" s="5">
        <v>37.200000000000003</v>
      </c>
      <c r="I38" s="5">
        <v>50.8</v>
      </c>
      <c r="J38" s="5">
        <v>15.9</v>
      </c>
      <c r="K38" s="5">
        <v>31.4</v>
      </c>
      <c r="L38" s="4">
        <v>741</v>
      </c>
      <c r="M38" s="5">
        <v>5.5</v>
      </c>
      <c r="N38" s="5">
        <v>38.5</v>
      </c>
      <c r="O38" s="5">
        <v>38.9</v>
      </c>
      <c r="P38" s="5">
        <v>1.8</v>
      </c>
      <c r="Q38" s="5">
        <v>20.399999999999999</v>
      </c>
      <c r="R38" s="5">
        <v>0.6</v>
      </c>
      <c r="S38" s="6">
        <v>5.27</v>
      </c>
      <c r="T38" s="5">
        <v>386.1</v>
      </c>
      <c r="U38" s="5">
        <v>16.7</v>
      </c>
      <c r="V38" s="6">
        <v>0.42</v>
      </c>
      <c r="W38" s="6">
        <v>0.43</v>
      </c>
      <c r="X38" s="6">
        <v>0.02</v>
      </c>
      <c r="Y38" s="6">
        <v>0.22</v>
      </c>
      <c r="Z38" s="6">
        <v>0.01</v>
      </c>
    </row>
    <row r="39" spans="1:26" x14ac:dyDescent="0.25">
      <c r="A39" s="4">
        <v>1976</v>
      </c>
      <c r="B39" s="4" t="s">
        <v>23</v>
      </c>
      <c r="C39" s="4">
        <v>16</v>
      </c>
      <c r="D39" s="4">
        <v>2</v>
      </c>
      <c r="E39" s="6">
        <v>0.92</v>
      </c>
      <c r="F39" s="6">
        <v>6.98</v>
      </c>
      <c r="G39" s="5">
        <v>11.8</v>
      </c>
      <c r="H39" s="5">
        <v>34.200000000000003</v>
      </c>
      <c r="I39" s="5">
        <v>49</v>
      </c>
      <c r="J39" s="5">
        <v>16.8</v>
      </c>
      <c r="K39" s="5">
        <v>34.200000000000003</v>
      </c>
      <c r="L39" s="4">
        <v>720</v>
      </c>
      <c r="M39" s="5">
        <v>5</v>
      </c>
      <c r="N39" s="5">
        <v>38.299999999999997</v>
      </c>
      <c r="O39" s="5">
        <v>54.7</v>
      </c>
      <c r="P39" s="5">
        <v>2.2999999999999998</v>
      </c>
      <c r="Q39" s="5">
        <v>4.2</v>
      </c>
      <c r="R39" s="5">
        <v>0.5</v>
      </c>
      <c r="S39" s="6">
        <v>3.96</v>
      </c>
      <c r="T39" s="5">
        <v>277</v>
      </c>
      <c r="U39" s="5">
        <v>16.600000000000001</v>
      </c>
      <c r="V39" s="6">
        <v>0.36</v>
      </c>
      <c r="W39" s="6">
        <v>0.5</v>
      </c>
      <c r="X39" s="6">
        <v>0.02</v>
      </c>
      <c r="Y39" s="6">
        <v>0.04</v>
      </c>
      <c r="Z39" s="6">
        <v>0</v>
      </c>
    </row>
    <row r="40" spans="1:26" x14ac:dyDescent="0.25">
      <c r="A40" s="4">
        <v>1976</v>
      </c>
      <c r="B40" s="4" t="s">
        <v>23</v>
      </c>
      <c r="C40" s="4">
        <v>16</v>
      </c>
      <c r="D40" s="4">
        <v>3</v>
      </c>
      <c r="E40" s="6">
        <v>1.08</v>
      </c>
      <c r="F40" s="6">
        <v>7.08</v>
      </c>
      <c r="G40" s="5">
        <v>11.6</v>
      </c>
      <c r="H40" s="5">
        <v>35.4</v>
      </c>
      <c r="I40" s="5">
        <v>50</v>
      </c>
      <c r="J40" s="5">
        <v>16.5</v>
      </c>
      <c r="K40" s="5">
        <v>33</v>
      </c>
      <c r="L40" s="4">
        <v>1120</v>
      </c>
      <c r="M40" s="5">
        <v>4.8</v>
      </c>
      <c r="N40" s="5">
        <v>41.8</v>
      </c>
      <c r="O40" s="5">
        <v>52.1</v>
      </c>
      <c r="P40" s="5">
        <v>3.6</v>
      </c>
      <c r="Q40" s="5">
        <v>2.2999999999999998</v>
      </c>
      <c r="R40" s="5">
        <v>0.2</v>
      </c>
      <c r="S40" s="6">
        <v>6.68</v>
      </c>
      <c r="T40" s="5">
        <v>473.2</v>
      </c>
      <c r="U40" s="5">
        <v>16.399999999999999</v>
      </c>
      <c r="V40" s="6">
        <v>0.46</v>
      </c>
      <c r="W40" s="6">
        <v>0.56000000000000005</v>
      </c>
      <c r="X40" s="6">
        <v>0.04</v>
      </c>
      <c r="Y40" s="6">
        <v>0.02</v>
      </c>
      <c r="Z40" s="6">
        <v>0</v>
      </c>
    </row>
    <row r="41" spans="1:26" x14ac:dyDescent="0.25">
      <c r="A41" s="4">
        <v>1976</v>
      </c>
      <c r="B41" s="4" t="s">
        <v>23</v>
      </c>
      <c r="C41" s="4">
        <v>16</v>
      </c>
      <c r="D41" s="4">
        <v>4</v>
      </c>
      <c r="E41" s="6">
        <v>2.2000000000000002</v>
      </c>
      <c r="F41" s="6">
        <v>7.34</v>
      </c>
      <c r="G41" s="5">
        <v>12.1</v>
      </c>
      <c r="H41" s="5">
        <v>36.799999999999997</v>
      </c>
      <c r="I41" s="5">
        <v>50.1</v>
      </c>
      <c r="J41" s="5">
        <v>16.5</v>
      </c>
      <c r="K41" s="5">
        <v>33</v>
      </c>
      <c r="L41" s="4">
        <v>1353</v>
      </c>
      <c r="M41" s="5">
        <v>5.0999999999999996</v>
      </c>
      <c r="N41" s="5">
        <v>51.2</v>
      </c>
      <c r="O41" s="5">
        <v>39.5</v>
      </c>
      <c r="P41" s="5">
        <v>5.6</v>
      </c>
      <c r="Q41" s="5">
        <v>3.1</v>
      </c>
      <c r="R41" s="5">
        <v>0.3</v>
      </c>
      <c r="S41" s="6">
        <v>6.88</v>
      </c>
      <c r="T41" s="5">
        <v>504.6</v>
      </c>
      <c r="U41" s="5">
        <v>16.600000000000001</v>
      </c>
      <c r="V41" s="6">
        <v>1.1299999999999999</v>
      </c>
      <c r="W41" s="6">
        <v>0.87</v>
      </c>
      <c r="X41" s="6">
        <v>0.12</v>
      </c>
      <c r="Y41" s="6">
        <v>7.0000000000000007E-2</v>
      </c>
      <c r="Z41" s="6">
        <v>0.01</v>
      </c>
    </row>
    <row r="42" spans="1:26" x14ac:dyDescent="0.25">
      <c r="A42" s="4">
        <v>1976</v>
      </c>
      <c r="B42" s="4" t="s">
        <v>23</v>
      </c>
      <c r="C42" s="4">
        <v>16</v>
      </c>
      <c r="D42" s="4">
        <v>5</v>
      </c>
      <c r="E42" s="6">
        <v>0.9</v>
      </c>
      <c r="F42" s="6">
        <v>6.55</v>
      </c>
      <c r="G42" s="5">
        <v>10.9</v>
      </c>
      <c r="H42" s="5">
        <v>32.6</v>
      </c>
      <c r="I42" s="5">
        <v>49.8</v>
      </c>
      <c r="J42" s="5">
        <v>16.7</v>
      </c>
      <c r="K42" s="5">
        <v>33.5</v>
      </c>
      <c r="L42" s="4">
        <v>805</v>
      </c>
      <c r="M42" s="5">
        <v>5.3</v>
      </c>
      <c r="N42" s="5">
        <v>34.6</v>
      </c>
      <c r="O42" s="5">
        <v>54.1</v>
      </c>
      <c r="P42" s="5">
        <v>2.4</v>
      </c>
      <c r="Q42" s="5">
        <v>7.5</v>
      </c>
      <c r="R42" s="5">
        <v>0</v>
      </c>
      <c r="S42" s="6">
        <v>4.75</v>
      </c>
      <c r="T42" s="5">
        <v>311</v>
      </c>
      <c r="U42" s="5">
        <v>16.5</v>
      </c>
      <c r="V42" s="6">
        <v>0.31</v>
      </c>
      <c r="W42" s="6">
        <v>0.49</v>
      </c>
      <c r="X42" s="6">
        <v>0.02</v>
      </c>
      <c r="Y42" s="6">
        <v>7.0000000000000007E-2</v>
      </c>
      <c r="Z42" s="6">
        <v>0</v>
      </c>
    </row>
    <row r="43" spans="1:26" x14ac:dyDescent="0.25">
      <c r="A43" s="4">
        <v>1976</v>
      </c>
      <c r="B43" s="4" t="s">
        <v>23</v>
      </c>
      <c r="C43" s="4">
        <v>16</v>
      </c>
      <c r="D43" s="4">
        <v>6</v>
      </c>
      <c r="E43" s="6">
        <v>1.53</v>
      </c>
      <c r="F43" s="6">
        <v>7.16</v>
      </c>
      <c r="G43" s="5">
        <v>11.6</v>
      </c>
      <c r="H43" s="5">
        <v>36.299999999999997</v>
      </c>
      <c r="I43" s="5">
        <v>50.7</v>
      </c>
      <c r="J43" s="5">
        <v>16.3</v>
      </c>
      <c r="K43" s="5">
        <v>32</v>
      </c>
      <c r="L43" s="4">
        <v>1309</v>
      </c>
      <c r="M43" s="5">
        <v>5.4</v>
      </c>
      <c r="N43" s="5">
        <v>51.8</v>
      </c>
      <c r="O43" s="5">
        <v>40.9</v>
      </c>
      <c r="P43" s="5">
        <v>3.6</v>
      </c>
      <c r="Q43" s="5">
        <v>3.6</v>
      </c>
      <c r="R43" s="5">
        <v>0.2</v>
      </c>
      <c r="S43" s="6">
        <v>5.91</v>
      </c>
      <c r="T43" s="5">
        <v>422.9</v>
      </c>
      <c r="U43" s="5">
        <v>16.600000000000001</v>
      </c>
      <c r="V43" s="6">
        <v>0.79</v>
      </c>
      <c r="W43" s="6">
        <v>0.63</v>
      </c>
      <c r="X43" s="6">
        <v>0.05</v>
      </c>
      <c r="Y43" s="6">
        <v>0.06</v>
      </c>
      <c r="Z43" s="6">
        <v>0</v>
      </c>
    </row>
    <row r="44" spans="1:26" x14ac:dyDescent="0.25">
      <c r="A44" s="4">
        <v>1976</v>
      </c>
      <c r="B44" s="4" t="s">
        <v>23</v>
      </c>
      <c r="C44" s="4">
        <v>16</v>
      </c>
      <c r="D44" s="4">
        <v>7</v>
      </c>
      <c r="E44" s="6">
        <v>2.54</v>
      </c>
      <c r="F44" s="4">
        <v>8.1199999999999992</v>
      </c>
      <c r="G44" s="5">
        <v>12.3</v>
      </c>
      <c r="H44" s="5">
        <v>36.9</v>
      </c>
      <c r="I44" s="5">
        <v>45.4</v>
      </c>
      <c r="J44" s="5">
        <v>15.1</v>
      </c>
      <c r="K44" s="5">
        <v>33.299999999999997</v>
      </c>
      <c r="L44" s="4">
        <v>1023</v>
      </c>
      <c r="M44" s="5">
        <v>5</v>
      </c>
      <c r="N44" s="5">
        <v>24.7</v>
      </c>
      <c r="O44" s="5">
        <v>62.48</v>
      </c>
      <c r="P44" s="5">
        <v>11.57</v>
      </c>
      <c r="Q44" s="5">
        <v>1.25</v>
      </c>
      <c r="R44" s="5">
        <v>0</v>
      </c>
      <c r="S44" s="4"/>
      <c r="T44" s="4"/>
      <c r="U44" s="4"/>
      <c r="V44" s="6">
        <v>0.63</v>
      </c>
      <c r="W44" s="6">
        <v>1.59</v>
      </c>
      <c r="X44" s="6">
        <v>0.28999999999999998</v>
      </c>
      <c r="Y44" s="6">
        <v>0.03</v>
      </c>
      <c r="Z44" s="6">
        <v>0</v>
      </c>
    </row>
    <row r="45" spans="1:26" x14ac:dyDescent="0.25">
      <c r="A45" s="4">
        <v>1976</v>
      </c>
      <c r="B45" s="4" t="s">
        <v>23</v>
      </c>
      <c r="C45" s="4">
        <v>16</v>
      </c>
      <c r="D45" s="4">
        <v>8</v>
      </c>
      <c r="E45" s="6">
        <v>2.2999999999999998</v>
      </c>
      <c r="F45" s="4">
        <v>7.77</v>
      </c>
      <c r="G45" s="5">
        <v>11.3</v>
      </c>
      <c r="H45" s="5">
        <v>35.299999999999997</v>
      </c>
      <c r="I45" s="5">
        <v>45.4</v>
      </c>
      <c r="J45" s="5">
        <v>14.5</v>
      </c>
      <c r="K45" s="5">
        <v>32</v>
      </c>
      <c r="L45" s="4">
        <v>1070</v>
      </c>
      <c r="M45" s="5">
        <v>4.9000000000000004</v>
      </c>
      <c r="N45" s="5">
        <v>20.84</v>
      </c>
      <c r="O45" s="5">
        <v>66.88</v>
      </c>
      <c r="P45" s="5">
        <v>11.57</v>
      </c>
      <c r="Q45" s="5">
        <v>0.46</v>
      </c>
      <c r="R45" s="5">
        <v>0.26</v>
      </c>
      <c r="S45" s="4"/>
      <c r="T45" s="4"/>
      <c r="U45" s="4"/>
      <c r="V45" s="6">
        <v>0.48</v>
      </c>
      <c r="W45" s="6">
        <v>1.54</v>
      </c>
      <c r="X45" s="6">
        <v>0.27</v>
      </c>
      <c r="Y45" s="6">
        <v>0.01</v>
      </c>
      <c r="Z45" s="6">
        <v>0.01</v>
      </c>
    </row>
    <row r="46" spans="1:26" x14ac:dyDescent="0.25">
      <c r="A46" s="4">
        <v>1976</v>
      </c>
      <c r="B46" s="4" t="s">
        <v>23</v>
      </c>
      <c r="C46" s="4">
        <v>16</v>
      </c>
      <c r="D46" s="4">
        <v>9</v>
      </c>
      <c r="E46" s="6">
        <v>2.5</v>
      </c>
      <c r="F46" s="4">
        <v>8.25</v>
      </c>
      <c r="G46" s="5">
        <v>12.8</v>
      </c>
      <c r="H46" s="5">
        <v>39.4</v>
      </c>
      <c r="I46" s="5">
        <v>47.8</v>
      </c>
      <c r="J46" s="5">
        <v>15.5</v>
      </c>
      <c r="K46" s="5">
        <v>32.5</v>
      </c>
      <c r="L46" s="4">
        <v>1066</v>
      </c>
      <c r="M46" s="5">
        <v>5.0999999999999996</v>
      </c>
      <c r="N46" s="5">
        <v>22.92</v>
      </c>
      <c r="O46" s="5">
        <v>63.18</v>
      </c>
      <c r="P46" s="5">
        <v>12.82</v>
      </c>
      <c r="Q46" s="5">
        <v>0.91</v>
      </c>
      <c r="R46" s="5">
        <v>0.18</v>
      </c>
      <c r="S46" s="4"/>
      <c r="T46" s="4"/>
      <c r="U46" s="4"/>
      <c r="V46" s="6">
        <v>0.56999999999999995</v>
      </c>
      <c r="W46" s="6">
        <v>1.58</v>
      </c>
      <c r="X46" s="6">
        <v>0.32</v>
      </c>
      <c r="Y46" s="6">
        <v>0.02</v>
      </c>
      <c r="Z46" s="6">
        <v>0</v>
      </c>
    </row>
    <row r="47" spans="1:26" x14ac:dyDescent="0.25">
      <c r="A47" s="4">
        <v>1976</v>
      </c>
      <c r="B47" s="4" t="s">
        <v>23</v>
      </c>
      <c r="C47" s="4">
        <v>16</v>
      </c>
      <c r="D47" s="4">
        <v>10</v>
      </c>
      <c r="E47" s="6">
        <v>1.74</v>
      </c>
      <c r="F47" s="4">
        <v>7.59</v>
      </c>
      <c r="G47" s="5">
        <v>11.3</v>
      </c>
      <c r="H47" s="5">
        <v>34.5</v>
      </c>
      <c r="I47" s="5">
        <v>45.4</v>
      </c>
      <c r="J47" s="5">
        <v>14.9</v>
      </c>
      <c r="K47" s="5">
        <v>32.799999999999997</v>
      </c>
      <c r="L47" s="4">
        <v>1091</v>
      </c>
      <c r="M47" s="5">
        <v>4.9000000000000004</v>
      </c>
      <c r="N47" s="5">
        <v>20.329999999999998</v>
      </c>
      <c r="O47" s="5">
        <v>66.59</v>
      </c>
      <c r="P47" s="5">
        <v>11.97</v>
      </c>
      <c r="Q47" s="5">
        <v>1.03</v>
      </c>
      <c r="R47" s="5">
        <v>0.08</v>
      </c>
      <c r="S47" s="4"/>
      <c r="T47" s="4"/>
      <c r="U47" s="4"/>
      <c r="V47" s="6">
        <v>0.35</v>
      </c>
      <c r="W47" s="6">
        <v>1.1599999999999999</v>
      </c>
      <c r="X47" s="6">
        <v>0.21</v>
      </c>
      <c r="Y47" s="6">
        <v>0.02</v>
      </c>
      <c r="Z47" s="6">
        <v>0</v>
      </c>
    </row>
    <row r="48" spans="1:26" x14ac:dyDescent="0.25">
      <c r="A48" s="4">
        <v>1976</v>
      </c>
      <c r="B48" s="4" t="s">
        <v>23</v>
      </c>
      <c r="C48" s="4">
        <v>16</v>
      </c>
      <c r="D48" s="4">
        <v>11</v>
      </c>
      <c r="E48" s="6">
        <v>1.44</v>
      </c>
      <c r="F48" s="4">
        <v>7.63</v>
      </c>
      <c r="G48" s="5">
        <v>11.8</v>
      </c>
      <c r="H48" s="5">
        <v>35.299999999999997</v>
      </c>
      <c r="I48" s="5">
        <v>46.2</v>
      </c>
      <c r="J48" s="5">
        <v>15.5</v>
      </c>
      <c r="K48" s="5">
        <v>33.4</v>
      </c>
      <c r="L48" s="4">
        <v>1142</v>
      </c>
      <c r="M48" s="5">
        <v>4.9000000000000004</v>
      </c>
      <c r="N48" s="5">
        <v>27.61</v>
      </c>
      <c r="O48" s="5">
        <v>61.13</v>
      </c>
      <c r="P48" s="5">
        <v>10.3</v>
      </c>
      <c r="Q48" s="5">
        <v>0.96</v>
      </c>
      <c r="R48" s="5">
        <v>0</v>
      </c>
      <c r="S48" s="4"/>
      <c r="T48" s="4"/>
      <c r="U48" s="4"/>
      <c r="V48" s="6">
        <v>0.4</v>
      </c>
      <c r="W48" s="6">
        <v>0.88</v>
      </c>
      <c r="X48" s="6">
        <v>0.15</v>
      </c>
      <c r="Y48" s="6">
        <v>0.01</v>
      </c>
      <c r="Z48" s="6">
        <v>0</v>
      </c>
    </row>
    <row r="49" spans="1:26" x14ac:dyDescent="0.25">
      <c r="A49" s="4">
        <v>1976</v>
      </c>
      <c r="B49" s="4" t="s">
        <v>23</v>
      </c>
      <c r="C49" s="4">
        <v>16</v>
      </c>
      <c r="D49" s="4">
        <v>12</v>
      </c>
      <c r="E49" s="6">
        <v>3.34</v>
      </c>
      <c r="F49" s="4">
        <v>8.23</v>
      </c>
      <c r="G49" s="5">
        <v>12</v>
      </c>
      <c r="H49" s="5">
        <v>37.299999999999997</v>
      </c>
      <c r="I49" s="5">
        <v>45.3</v>
      </c>
      <c r="J49" s="5">
        <v>14.6</v>
      </c>
      <c r="K49" s="5">
        <v>32.200000000000003</v>
      </c>
      <c r="L49" s="4">
        <v>977</v>
      </c>
      <c r="M49" s="5">
        <v>5</v>
      </c>
      <c r="N49" s="5">
        <v>21.08</v>
      </c>
      <c r="O49" s="5">
        <v>62.46</v>
      </c>
      <c r="P49" s="5">
        <v>13.75</v>
      </c>
      <c r="Q49" s="5">
        <v>2.2799999999999998</v>
      </c>
      <c r="R49" s="5">
        <v>0.43</v>
      </c>
      <c r="S49" s="4"/>
      <c r="T49" s="4"/>
      <c r="U49" s="4"/>
      <c r="V49" s="6">
        <v>0.7</v>
      </c>
      <c r="W49" s="6">
        <v>2.09</v>
      </c>
      <c r="X49" s="6">
        <v>0.46</v>
      </c>
      <c r="Y49" s="6">
        <v>0.08</v>
      </c>
      <c r="Z49" s="6">
        <v>0.01</v>
      </c>
    </row>
    <row r="50" spans="1:26" x14ac:dyDescent="0.25">
      <c r="A50" s="4">
        <v>1976</v>
      </c>
      <c r="B50" s="4" t="s">
        <v>23</v>
      </c>
      <c r="C50" s="4">
        <v>16</v>
      </c>
      <c r="D50" s="4">
        <v>13</v>
      </c>
      <c r="E50" s="6">
        <v>2.2400000000000002</v>
      </c>
      <c r="F50" s="4">
        <v>10.15</v>
      </c>
      <c r="G50" s="5">
        <v>15</v>
      </c>
      <c r="H50" s="5">
        <v>45.7</v>
      </c>
      <c r="I50" s="5">
        <v>45</v>
      </c>
      <c r="J50" s="5">
        <v>14.8</v>
      </c>
      <c r="K50" s="5">
        <v>32.799999999999997</v>
      </c>
      <c r="L50" s="4">
        <v>792</v>
      </c>
      <c r="M50" s="5">
        <v>4.8</v>
      </c>
      <c r="N50" s="5">
        <v>42.25</v>
      </c>
      <c r="O50" s="5">
        <v>48.74</v>
      </c>
      <c r="P50" s="5">
        <v>7.99</v>
      </c>
      <c r="Q50" s="5">
        <v>0.78</v>
      </c>
      <c r="R50" s="5">
        <v>0.23</v>
      </c>
      <c r="S50" s="4"/>
      <c r="T50" s="4"/>
      <c r="U50" s="4"/>
      <c r="V50" s="6">
        <v>0.95</v>
      </c>
      <c r="W50" s="6">
        <v>1.0900000000000001</v>
      </c>
      <c r="X50" s="6">
        <v>0.18</v>
      </c>
      <c r="Y50" s="6">
        <v>0.02</v>
      </c>
      <c r="Z50" s="6">
        <v>0.01</v>
      </c>
    </row>
    <row r="51" spans="1:26" x14ac:dyDescent="0.25">
      <c r="A51" s="4">
        <v>1976</v>
      </c>
      <c r="B51" s="4" t="s">
        <v>23</v>
      </c>
      <c r="C51" s="4">
        <v>16</v>
      </c>
      <c r="D51" s="4">
        <v>14</v>
      </c>
      <c r="E51" s="6">
        <v>7.24</v>
      </c>
      <c r="F51" s="4">
        <v>8.0500000000000007</v>
      </c>
      <c r="G51" s="5">
        <v>12.1</v>
      </c>
      <c r="H51" s="5">
        <v>36.9</v>
      </c>
      <c r="I51" s="5">
        <v>45.9</v>
      </c>
      <c r="J51" s="5">
        <v>15</v>
      </c>
      <c r="K51" s="5">
        <v>32.799999999999997</v>
      </c>
      <c r="L51" s="4">
        <v>1051</v>
      </c>
      <c r="M51" s="5">
        <v>4.8</v>
      </c>
      <c r="N51" s="5">
        <v>22.01</v>
      </c>
      <c r="O51" s="5">
        <v>68.010000000000005</v>
      </c>
      <c r="P51" s="5">
        <v>9.58</v>
      </c>
      <c r="Q51" s="5">
        <v>0.28000000000000003</v>
      </c>
      <c r="R51" s="5">
        <v>0.11</v>
      </c>
      <c r="S51" s="4"/>
      <c r="T51" s="4"/>
      <c r="U51" s="4"/>
      <c r="V51" s="6">
        <v>1.59</v>
      </c>
      <c r="W51" s="6">
        <v>4.92</v>
      </c>
      <c r="X51" s="6">
        <v>0.69</v>
      </c>
      <c r="Y51" s="6">
        <v>0.02</v>
      </c>
      <c r="Z51" s="6">
        <v>0.01</v>
      </c>
    </row>
    <row r="52" spans="1:26" x14ac:dyDescent="0.25">
      <c r="A52" s="4">
        <v>1976</v>
      </c>
      <c r="B52" s="31" t="s">
        <v>22</v>
      </c>
      <c r="C52" s="4">
        <v>30</v>
      </c>
      <c r="D52" s="4">
        <v>1</v>
      </c>
      <c r="E52" s="33">
        <v>1.5</v>
      </c>
      <c r="F52" s="6">
        <v>7.57</v>
      </c>
      <c r="G52" s="5">
        <v>13</v>
      </c>
      <c r="H52" s="5">
        <v>38</v>
      </c>
      <c r="I52" s="5">
        <v>50.2</v>
      </c>
      <c r="J52" s="5">
        <v>17.100000000000001</v>
      </c>
      <c r="K52" s="5">
        <v>34.1</v>
      </c>
      <c r="L52" s="4">
        <v>1211</v>
      </c>
      <c r="M52" s="5">
        <v>6.2</v>
      </c>
      <c r="N52" s="5">
        <v>27</v>
      </c>
      <c r="O52" s="5">
        <v>34.799999999999997</v>
      </c>
      <c r="P52" s="5">
        <v>2.5</v>
      </c>
      <c r="Q52" s="5">
        <v>1.5</v>
      </c>
      <c r="R52" s="5">
        <v>1.3</v>
      </c>
      <c r="S52" s="6">
        <v>4.32</v>
      </c>
      <c r="T52" s="5">
        <v>326.8</v>
      </c>
      <c r="U52" s="5">
        <v>17.399999999999999</v>
      </c>
      <c r="V52" s="6">
        <v>0.4</v>
      </c>
      <c r="W52" s="6">
        <v>0.52</v>
      </c>
      <c r="X52" s="6">
        <v>0.04</v>
      </c>
      <c r="Y52" s="6">
        <v>0.02</v>
      </c>
      <c r="Z52" s="6">
        <v>0.02</v>
      </c>
    </row>
    <row r="53" spans="1:26" x14ac:dyDescent="0.25">
      <c r="A53" s="4">
        <v>1976</v>
      </c>
      <c r="B53" s="31" t="s">
        <v>22</v>
      </c>
      <c r="C53" s="4">
        <v>30</v>
      </c>
      <c r="D53" s="4">
        <v>2</v>
      </c>
      <c r="E53" s="33">
        <v>1.2</v>
      </c>
      <c r="F53" s="6">
        <v>6.89</v>
      </c>
      <c r="G53" s="5">
        <v>12</v>
      </c>
      <c r="H53" s="5">
        <v>34.6</v>
      </c>
      <c r="I53" s="5">
        <v>50.2</v>
      </c>
      <c r="J53" s="5">
        <v>17.399999999999999</v>
      </c>
      <c r="K53" s="5">
        <v>34.6</v>
      </c>
      <c r="L53" s="4">
        <v>997</v>
      </c>
      <c r="M53" s="5">
        <v>5.8</v>
      </c>
      <c r="N53" s="5">
        <v>35</v>
      </c>
      <c r="O53" s="5">
        <v>57.3</v>
      </c>
      <c r="P53" s="5">
        <v>1.6</v>
      </c>
      <c r="Q53" s="5">
        <v>4.5</v>
      </c>
      <c r="R53" s="5">
        <v>0.3</v>
      </c>
      <c r="S53" s="6">
        <v>4.8600000000000003</v>
      </c>
      <c r="T53" s="5">
        <v>334.8</v>
      </c>
      <c r="U53" s="5">
        <v>17.399999999999999</v>
      </c>
      <c r="V53" s="6">
        <v>0.42</v>
      </c>
      <c r="W53" s="6">
        <v>0.69</v>
      </c>
      <c r="X53" s="6">
        <v>0.02</v>
      </c>
      <c r="Y53" s="6">
        <v>0.05</v>
      </c>
      <c r="Z53" s="6">
        <v>0</v>
      </c>
    </row>
    <row r="54" spans="1:26" x14ac:dyDescent="0.25">
      <c r="A54" s="4">
        <v>1976</v>
      </c>
      <c r="B54" s="31" t="s">
        <v>22</v>
      </c>
      <c r="C54" s="4">
        <v>30</v>
      </c>
      <c r="D54" s="4">
        <v>3</v>
      </c>
      <c r="E54" s="33">
        <v>0.66</v>
      </c>
      <c r="F54" s="6">
        <v>6.57</v>
      </c>
      <c r="G54" s="5">
        <v>11</v>
      </c>
      <c r="H54" s="5">
        <v>32.6</v>
      </c>
      <c r="I54" s="5">
        <v>49.7</v>
      </c>
      <c r="J54" s="5">
        <v>16.8</v>
      </c>
      <c r="K54" s="5">
        <v>33.9</v>
      </c>
      <c r="L54" s="4">
        <v>1116</v>
      </c>
      <c r="M54" s="5">
        <v>5.6</v>
      </c>
      <c r="N54" s="5">
        <v>38.5</v>
      </c>
      <c r="O54" s="5">
        <v>55.7</v>
      </c>
      <c r="P54" s="5">
        <v>1.5</v>
      </c>
      <c r="Q54" s="5">
        <v>3</v>
      </c>
      <c r="R54" s="5">
        <v>0.4</v>
      </c>
      <c r="S54" s="6">
        <v>7.55</v>
      </c>
      <c r="T54" s="5">
        <v>495.8</v>
      </c>
      <c r="U54" s="5">
        <v>17.600000000000001</v>
      </c>
      <c r="V54" s="6">
        <v>0.25</v>
      </c>
      <c r="W54" s="6">
        <v>0.37</v>
      </c>
      <c r="X54" s="6">
        <v>0.01</v>
      </c>
      <c r="Y54" s="6">
        <v>0.02</v>
      </c>
      <c r="Z54" s="6">
        <v>0</v>
      </c>
    </row>
    <row r="55" spans="1:26" x14ac:dyDescent="0.25">
      <c r="A55" s="4">
        <v>1976</v>
      </c>
      <c r="B55" s="31" t="s">
        <v>22</v>
      </c>
      <c r="C55" s="4">
        <v>30</v>
      </c>
      <c r="D55" s="4">
        <v>4</v>
      </c>
      <c r="E55" s="33">
        <v>0.9</v>
      </c>
      <c r="F55" s="6">
        <v>6.69</v>
      </c>
      <c r="G55" s="5">
        <v>10.5</v>
      </c>
      <c r="H55" s="5">
        <v>34</v>
      </c>
      <c r="I55" s="5">
        <v>50.9</v>
      </c>
      <c r="J55" s="5">
        <v>15.7</v>
      </c>
      <c r="K55" s="5">
        <v>30.9</v>
      </c>
      <c r="L55" s="4">
        <v>1140</v>
      </c>
      <c r="M55" s="5">
        <v>6.5</v>
      </c>
      <c r="N55" s="5">
        <v>37.299999999999997</v>
      </c>
      <c r="O55" s="5">
        <v>58.4</v>
      </c>
      <c r="P55" s="5">
        <v>1.2</v>
      </c>
      <c r="Q55" s="5">
        <v>2.5</v>
      </c>
      <c r="R55" s="5">
        <v>0.1</v>
      </c>
      <c r="S55" s="6">
        <v>7.92</v>
      </c>
      <c r="T55" s="5">
        <v>529.5</v>
      </c>
      <c r="U55" s="5">
        <v>16.899999999999999</v>
      </c>
      <c r="V55" s="6">
        <v>0.34</v>
      </c>
      <c r="W55" s="6">
        <v>0.53</v>
      </c>
      <c r="X55" s="6">
        <v>0.01</v>
      </c>
      <c r="Y55" s="6">
        <v>0.02</v>
      </c>
      <c r="Z55" s="6">
        <v>0</v>
      </c>
    </row>
    <row r="56" spans="1:26" x14ac:dyDescent="0.25">
      <c r="A56" s="4">
        <v>1976</v>
      </c>
      <c r="B56" s="31" t="s">
        <v>22</v>
      </c>
      <c r="C56" s="4">
        <v>30</v>
      </c>
      <c r="D56" s="4">
        <v>5</v>
      </c>
      <c r="E56" s="34">
        <v>3.18</v>
      </c>
      <c r="F56" s="13">
        <v>8.2100000000000009</v>
      </c>
      <c r="G56" s="5">
        <v>12.7</v>
      </c>
      <c r="H56" s="5">
        <v>40.9</v>
      </c>
      <c r="I56" s="5">
        <v>49.8</v>
      </c>
      <c r="J56" s="5">
        <v>15.5</v>
      </c>
      <c r="K56" s="5">
        <v>31.1</v>
      </c>
      <c r="L56" s="4">
        <v>880</v>
      </c>
      <c r="M56" s="5">
        <v>5.0999999999999996</v>
      </c>
      <c r="N56" s="14">
        <v>36.07</v>
      </c>
      <c r="O56" s="14">
        <v>55.46</v>
      </c>
      <c r="P56" s="14">
        <v>7.82</v>
      </c>
      <c r="Q56" s="14">
        <v>0.56000000000000005</v>
      </c>
      <c r="R56" s="14">
        <v>0.11</v>
      </c>
      <c r="S56" s="4"/>
      <c r="T56" s="4"/>
      <c r="U56" s="4"/>
      <c r="V56" s="6">
        <v>1.1499999999999999</v>
      </c>
      <c r="W56" s="6">
        <v>1.76</v>
      </c>
      <c r="X56" s="6">
        <v>0.25</v>
      </c>
      <c r="Y56" s="6">
        <v>0.02</v>
      </c>
      <c r="Z56" s="6">
        <v>0</v>
      </c>
    </row>
    <row r="57" spans="1:26" x14ac:dyDescent="0.25">
      <c r="A57" s="4">
        <v>1976</v>
      </c>
      <c r="B57" s="31" t="s">
        <v>22</v>
      </c>
      <c r="C57" s="4">
        <v>30</v>
      </c>
      <c r="D57" s="4">
        <v>6</v>
      </c>
      <c r="E57" s="34">
        <v>2.04</v>
      </c>
      <c r="F57" s="13">
        <v>7.06</v>
      </c>
      <c r="G57" s="5">
        <v>11.3</v>
      </c>
      <c r="H57" s="5">
        <v>36.200000000000003</v>
      </c>
      <c r="I57" s="5">
        <v>51.3</v>
      </c>
      <c r="J57" s="5">
        <v>16</v>
      </c>
      <c r="K57" s="5">
        <v>31.2</v>
      </c>
      <c r="L57" s="4">
        <v>1052</v>
      </c>
      <c r="M57" s="5">
        <v>5.0999999999999996</v>
      </c>
      <c r="N57" s="14">
        <v>33.06</v>
      </c>
      <c r="O57" s="14">
        <v>57.16</v>
      </c>
      <c r="P57" s="14">
        <v>6.67</v>
      </c>
      <c r="Q57" s="14">
        <v>2.15</v>
      </c>
      <c r="R57" s="14">
        <v>0.95</v>
      </c>
      <c r="S57" s="4"/>
      <c r="T57" s="4"/>
      <c r="U57" s="4"/>
      <c r="V57" s="6">
        <v>0.67</v>
      </c>
      <c r="W57" s="6">
        <v>1.17</v>
      </c>
      <c r="X57" s="6">
        <v>0.14000000000000001</v>
      </c>
      <c r="Y57" s="6">
        <v>0.04</v>
      </c>
      <c r="Z57" s="6">
        <v>0.02</v>
      </c>
    </row>
    <row r="58" spans="1:26" x14ac:dyDescent="0.25">
      <c r="A58" s="4">
        <v>1976</v>
      </c>
      <c r="B58" s="31" t="s">
        <v>23</v>
      </c>
      <c r="C58" s="4">
        <v>30</v>
      </c>
      <c r="D58" s="4">
        <v>1</v>
      </c>
      <c r="E58" s="33">
        <v>1.17</v>
      </c>
      <c r="F58" s="6">
        <v>6.4</v>
      </c>
      <c r="G58" s="5">
        <v>10.5</v>
      </c>
      <c r="H58" s="5">
        <v>31.2</v>
      </c>
      <c r="I58" s="5">
        <v>48.7</v>
      </c>
      <c r="J58" s="5">
        <v>16.3</v>
      </c>
      <c r="K58" s="5">
        <v>33.5</v>
      </c>
      <c r="L58" s="4">
        <v>1360</v>
      </c>
      <c r="M58" s="5">
        <v>5.3</v>
      </c>
      <c r="N58" s="5">
        <v>51.8</v>
      </c>
      <c r="O58" s="5">
        <v>44.5</v>
      </c>
      <c r="P58" s="5">
        <v>1.8</v>
      </c>
      <c r="Q58" s="5">
        <v>1.7</v>
      </c>
      <c r="R58" s="5">
        <v>0</v>
      </c>
      <c r="S58" s="6">
        <v>4.67</v>
      </c>
      <c r="T58" s="5">
        <v>298.8</v>
      </c>
      <c r="U58" s="5">
        <v>17.100000000000001</v>
      </c>
      <c r="V58" s="6">
        <v>1.22</v>
      </c>
      <c r="W58" s="6">
        <v>1.04</v>
      </c>
      <c r="X58" s="6">
        <v>0.04</v>
      </c>
      <c r="Y58" s="6">
        <v>0.04</v>
      </c>
      <c r="Z58" s="6">
        <v>0</v>
      </c>
    </row>
    <row r="59" spans="1:26" x14ac:dyDescent="0.25">
      <c r="A59" s="4">
        <v>1976</v>
      </c>
      <c r="B59" s="31" t="s">
        <v>23</v>
      </c>
      <c r="C59" s="4">
        <v>30</v>
      </c>
      <c r="D59" s="4">
        <v>2</v>
      </c>
      <c r="E59" s="33">
        <v>1.1399999999999999</v>
      </c>
      <c r="F59" s="6">
        <v>6.37</v>
      </c>
      <c r="G59" s="5">
        <v>10.6</v>
      </c>
      <c r="H59" s="5">
        <v>31.2</v>
      </c>
      <c r="I59" s="5">
        <v>48.9</v>
      </c>
      <c r="J59" s="5">
        <v>16.600000000000001</v>
      </c>
      <c r="K59" s="5">
        <v>34</v>
      </c>
      <c r="L59" s="4">
        <v>1090</v>
      </c>
      <c r="M59" s="5">
        <v>5.6</v>
      </c>
      <c r="N59" s="5">
        <v>44.1</v>
      </c>
      <c r="O59" s="5">
        <v>50.3</v>
      </c>
      <c r="P59" s="5">
        <v>2.2000000000000002</v>
      </c>
      <c r="Q59" s="5">
        <v>2.9</v>
      </c>
      <c r="R59" s="5">
        <v>0.1</v>
      </c>
      <c r="S59" s="6">
        <v>5.35</v>
      </c>
      <c r="T59" s="5">
        <v>341</v>
      </c>
      <c r="U59" s="5">
        <v>16.8</v>
      </c>
      <c r="V59" s="6">
        <v>0.5</v>
      </c>
      <c r="W59" s="6">
        <v>0.56999999999999995</v>
      </c>
      <c r="X59" s="6">
        <v>0.02</v>
      </c>
      <c r="Y59" s="6">
        <v>0.03</v>
      </c>
      <c r="Z59" s="6">
        <v>0</v>
      </c>
    </row>
    <row r="60" spans="1:26" x14ac:dyDescent="0.25">
      <c r="A60" s="4">
        <v>1976</v>
      </c>
      <c r="B60" s="31" t="s">
        <v>23</v>
      </c>
      <c r="C60" s="4">
        <v>30</v>
      </c>
      <c r="D60" s="4">
        <v>3</v>
      </c>
      <c r="E60" s="33">
        <v>1.1299999999999999</v>
      </c>
      <c r="F60" s="6">
        <v>7.7</v>
      </c>
      <c r="G60" s="5">
        <v>12.9</v>
      </c>
      <c r="H60" s="5">
        <v>37.1</v>
      </c>
      <c r="I60" s="5">
        <v>48.2</v>
      </c>
      <c r="J60" s="5">
        <v>16.7</v>
      </c>
      <c r="K60" s="5">
        <v>34.700000000000003</v>
      </c>
      <c r="L60" s="4">
        <v>1388</v>
      </c>
      <c r="M60" s="5">
        <v>5.6</v>
      </c>
      <c r="N60" s="5">
        <v>44.3</v>
      </c>
      <c r="O60" s="5">
        <v>50.7</v>
      </c>
      <c r="P60" s="5">
        <v>1.8</v>
      </c>
      <c r="Q60" s="5">
        <v>2</v>
      </c>
      <c r="R60" s="5">
        <v>0.4</v>
      </c>
      <c r="S60" s="6">
        <v>4.8600000000000003</v>
      </c>
      <c r="T60" s="5">
        <v>374.4</v>
      </c>
      <c r="U60" s="5">
        <v>17</v>
      </c>
      <c r="V60" s="6">
        <v>0.5</v>
      </c>
      <c r="W60" s="6">
        <v>0.56999999999999995</v>
      </c>
      <c r="X60" s="6">
        <v>0.02</v>
      </c>
      <c r="Y60" s="6">
        <v>0.02</v>
      </c>
      <c r="Z60" s="6">
        <v>0</v>
      </c>
    </row>
    <row r="61" spans="1:26" x14ac:dyDescent="0.25">
      <c r="A61" s="4">
        <v>1976</v>
      </c>
      <c r="B61" s="31" t="s">
        <v>23</v>
      </c>
      <c r="C61" s="4">
        <v>30</v>
      </c>
      <c r="D61" s="4">
        <v>4</v>
      </c>
      <c r="E61" s="33">
        <v>0.67</v>
      </c>
      <c r="F61" s="6">
        <v>7.32</v>
      </c>
      <c r="G61" s="5">
        <v>12.2</v>
      </c>
      <c r="H61" s="5">
        <v>35.700000000000003</v>
      </c>
      <c r="I61" s="5">
        <v>48.8</v>
      </c>
      <c r="J61" s="5">
        <v>16.7</v>
      </c>
      <c r="K61" s="5">
        <v>34.299999999999997</v>
      </c>
      <c r="L61" s="4">
        <v>1316</v>
      </c>
      <c r="M61" s="5">
        <v>5.9</v>
      </c>
      <c r="N61" s="5">
        <v>57.3</v>
      </c>
      <c r="O61" s="5">
        <v>39.200000000000003</v>
      </c>
      <c r="P61" s="5">
        <v>0.9</v>
      </c>
      <c r="Q61" s="5">
        <v>2</v>
      </c>
      <c r="R61" s="5">
        <v>0</v>
      </c>
      <c r="S61" s="6">
        <v>4.4000000000000004</v>
      </c>
      <c r="T61" s="5">
        <v>321.89999999999998</v>
      </c>
      <c r="U61" s="5">
        <v>17.2</v>
      </c>
      <c r="V61" s="6">
        <v>0.38</v>
      </c>
      <c r="W61" s="6">
        <v>0.26</v>
      </c>
      <c r="X61" s="6">
        <v>0.01</v>
      </c>
      <c r="Y61" s="6">
        <v>0.01</v>
      </c>
      <c r="Z61" s="6">
        <v>0</v>
      </c>
    </row>
    <row r="62" spans="1:26" x14ac:dyDescent="0.25">
      <c r="A62" s="4">
        <v>1976</v>
      </c>
      <c r="B62" s="31" t="s">
        <v>23</v>
      </c>
      <c r="C62" s="4">
        <v>30</v>
      </c>
      <c r="D62" s="4">
        <v>5</v>
      </c>
      <c r="E62" s="34">
        <v>2.2599999999999998</v>
      </c>
      <c r="F62" s="13">
        <v>7.3</v>
      </c>
      <c r="G62" s="5">
        <v>10.9</v>
      </c>
      <c r="H62" s="5">
        <v>37.1</v>
      </c>
      <c r="I62" s="5">
        <v>50.8</v>
      </c>
      <c r="J62" s="5">
        <v>14.9</v>
      </c>
      <c r="K62" s="5">
        <v>29.4</v>
      </c>
      <c r="L62" s="4">
        <v>1225</v>
      </c>
      <c r="M62" s="5">
        <v>5</v>
      </c>
      <c r="N62" s="14">
        <v>32.93</v>
      </c>
      <c r="O62" s="14">
        <v>58.01</v>
      </c>
      <c r="P62" s="14">
        <v>8.52</v>
      </c>
      <c r="Q62" s="14">
        <v>0.47</v>
      </c>
      <c r="R62" s="14">
        <v>7.0000000000000007E-2</v>
      </c>
      <c r="S62" s="4"/>
      <c r="T62" s="4"/>
      <c r="U62" s="4"/>
      <c r="V62" s="6">
        <v>0.74</v>
      </c>
      <c r="W62" s="6">
        <v>1.31</v>
      </c>
      <c r="X62" s="6">
        <v>0.19</v>
      </c>
      <c r="Y62" s="6">
        <v>0.01</v>
      </c>
      <c r="Z62" s="6">
        <v>0</v>
      </c>
    </row>
    <row r="63" spans="1:26" x14ac:dyDescent="0.25">
      <c r="A63" s="4">
        <v>1976</v>
      </c>
      <c r="B63" s="31" t="s">
        <v>23</v>
      </c>
      <c r="C63" s="4">
        <v>30</v>
      </c>
      <c r="D63" s="4">
        <v>6</v>
      </c>
      <c r="E63" s="34">
        <v>5.0199999999999996</v>
      </c>
      <c r="F63" s="13">
        <v>6.77</v>
      </c>
      <c r="G63" s="5">
        <v>10.6</v>
      </c>
      <c r="H63" s="5">
        <v>33.200000000000003</v>
      </c>
      <c r="I63" s="5">
        <v>49.1</v>
      </c>
      <c r="J63" s="5">
        <v>15.7</v>
      </c>
      <c r="K63" s="5">
        <v>31.9</v>
      </c>
      <c r="L63" s="4">
        <v>1144</v>
      </c>
      <c r="M63" s="5">
        <v>4.9000000000000004</v>
      </c>
      <c r="N63" s="14">
        <v>52.56</v>
      </c>
      <c r="O63" s="14">
        <v>32.01</v>
      </c>
      <c r="P63" s="14">
        <v>15.04</v>
      </c>
      <c r="Q63" s="14">
        <v>0.33</v>
      </c>
      <c r="R63" s="14">
        <v>0.06</v>
      </c>
      <c r="S63" s="4"/>
      <c r="T63" s="4"/>
      <c r="U63" s="4"/>
      <c r="V63" s="6">
        <v>2.64</v>
      </c>
      <c r="W63" s="6">
        <v>1.61</v>
      </c>
      <c r="X63" s="6">
        <v>0.76</v>
      </c>
      <c r="Y63" s="6">
        <v>0.02</v>
      </c>
      <c r="Z63" s="6">
        <v>0</v>
      </c>
    </row>
    <row r="64" spans="1:26" x14ac:dyDescent="0.25">
      <c r="A64" s="4">
        <v>1976</v>
      </c>
      <c r="B64" s="31" t="s">
        <v>23</v>
      </c>
      <c r="C64" s="4">
        <v>30</v>
      </c>
      <c r="D64" s="4">
        <v>7</v>
      </c>
      <c r="E64" s="34">
        <v>5.14</v>
      </c>
      <c r="F64" s="13">
        <v>7.94</v>
      </c>
      <c r="G64" s="5">
        <v>11.5</v>
      </c>
      <c r="H64" s="5">
        <v>37.799999999999997</v>
      </c>
      <c r="I64" s="5">
        <v>47.6</v>
      </c>
      <c r="J64" s="5">
        <v>14.5</v>
      </c>
      <c r="K64" s="5">
        <v>30.4</v>
      </c>
      <c r="L64" s="4">
        <v>1030</v>
      </c>
      <c r="M64" s="5">
        <v>5.0999999999999996</v>
      </c>
      <c r="N64" s="14">
        <v>50.61</v>
      </c>
      <c r="O64" s="14">
        <v>28.94</v>
      </c>
      <c r="P64" s="14">
        <v>16.079999999999998</v>
      </c>
      <c r="Q64" s="14">
        <v>3.27</v>
      </c>
      <c r="R64" s="14">
        <v>1.1000000000000001</v>
      </c>
      <c r="S64" s="4"/>
      <c r="T64" s="4"/>
      <c r="U64" s="4"/>
      <c r="V64" s="6">
        <v>2.6</v>
      </c>
      <c r="W64" s="6">
        <v>1.49</v>
      </c>
      <c r="X64" s="6">
        <v>0.83</v>
      </c>
      <c r="Y64" s="6">
        <v>0.17</v>
      </c>
      <c r="Z64" s="6">
        <v>0.06</v>
      </c>
    </row>
    <row r="65" spans="1:26" x14ac:dyDescent="0.25">
      <c r="A65" s="4">
        <v>1976</v>
      </c>
      <c r="B65" s="31" t="s">
        <v>23</v>
      </c>
      <c r="C65" s="4">
        <v>30</v>
      </c>
      <c r="D65" s="4">
        <v>8</v>
      </c>
      <c r="E65" s="34">
        <v>7.04</v>
      </c>
      <c r="F65" s="13">
        <v>7.94</v>
      </c>
      <c r="G65" s="5">
        <v>12.3</v>
      </c>
      <c r="H65" s="5">
        <v>38.700000000000003</v>
      </c>
      <c r="I65" s="5">
        <v>48.7</v>
      </c>
      <c r="J65" s="5">
        <v>15.5</v>
      </c>
      <c r="K65" s="5">
        <v>31.8</v>
      </c>
      <c r="L65" s="4">
        <v>1090</v>
      </c>
      <c r="M65" s="5">
        <v>5</v>
      </c>
      <c r="N65" s="14">
        <v>63.71</v>
      </c>
      <c r="O65" s="14">
        <v>27.45</v>
      </c>
      <c r="P65" s="14">
        <v>7.36</v>
      </c>
      <c r="Q65" s="14">
        <v>1.26</v>
      </c>
      <c r="R65" s="14">
        <v>0.22</v>
      </c>
      <c r="S65" s="4"/>
      <c r="T65" s="4"/>
      <c r="U65" s="4"/>
      <c r="V65" s="6">
        <v>4.49</v>
      </c>
      <c r="W65" s="6">
        <v>1.93</v>
      </c>
      <c r="X65" s="6">
        <v>0.52</v>
      </c>
      <c r="Y65" s="6">
        <v>0.09</v>
      </c>
      <c r="Z65" s="6">
        <v>0.02</v>
      </c>
    </row>
    <row r="66" spans="1:26" x14ac:dyDescent="0.25">
      <c r="A66" s="4">
        <v>1976</v>
      </c>
      <c r="B66" s="31" t="s">
        <v>23</v>
      </c>
      <c r="C66" s="4">
        <v>30</v>
      </c>
      <c r="D66" s="4">
        <v>9</v>
      </c>
      <c r="E66" s="34">
        <v>4.68</v>
      </c>
      <c r="F66" s="13">
        <v>6.65</v>
      </c>
      <c r="G66" s="5">
        <v>9.9</v>
      </c>
      <c r="H66" s="5">
        <v>33.9</v>
      </c>
      <c r="I66" s="5">
        <v>51</v>
      </c>
      <c r="J66" s="5">
        <v>14.9</v>
      </c>
      <c r="K66" s="5">
        <v>29.2</v>
      </c>
      <c r="L66" s="4">
        <v>1170</v>
      </c>
      <c r="M66" s="5">
        <v>4.9000000000000004</v>
      </c>
      <c r="N66" s="14">
        <v>50.5</v>
      </c>
      <c r="O66" s="14">
        <v>32.03</v>
      </c>
      <c r="P66" s="14">
        <v>17.010000000000002</v>
      </c>
      <c r="Q66" s="14">
        <v>0.43</v>
      </c>
      <c r="R66" s="14">
        <v>0.02</v>
      </c>
      <c r="S66" s="4"/>
      <c r="T66" s="4"/>
      <c r="U66" s="4"/>
      <c r="V66" s="6">
        <v>2.36</v>
      </c>
      <c r="W66" s="6">
        <v>1.5</v>
      </c>
      <c r="X66" s="6">
        <v>0.8</v>
      </c>
      <c r="Y66" s="6">
        <v>0.02</v>
      </c>
      <c r="Z66" s="6">
        <v>0</v>
      </c>
    </row>
    <row r="67" spans="1:26" x14ac:dyDescent="0.25">
      <c r="A67" s="4">
        <v>1976</v>
      </c>
      <c r="B67" s="31" t="s">
        <v>23</v>
      </c>
      <c r="C67" s="4">
        <v>30</v>
      </c>
      <c r="D67" s="4">
        <v>10</v>
      </c>
      <c r="E67" s="34">
        <v>2.34</v>
      </c>
      <c r="F67" s="13">
        <v>8.1</v>
      </c>
      <c r="G67" s="5">
        <v>12.2</v>
      </c>
      <c r="H67" s="5">
        <v>39.799999999999997</v>
      </c>
      <c r="I67" s="5">
        <v>49.1</v>
      </c>
      <c r="J67" s="5">
        <v>15.1</v>
      </c>
      <c r="K67" s="5">
        <v>30.7</v>
      </c>
      <c r="L67" s="4">
        <v>721</v>
      </c>
      <c r="M67" s="5">
        <v>5</v>
      </c>
      <c r="N67" s="14">
        <v>42.85</v>
      </c>
      <c r="O67" s="14">
        <v>47.06</v>
      </c>
      <c r="P67" s="14">
        <v>5.53</v>
      </c>
      <c r="Q67" s="14">
        <v>3.69</v>
      </c>
      <c r="R67" s="14">
        <v>0.89</v>
      </c>
      <c r="S67" s="4"/>
      <c r="T67" s="4"/>
      <c r="U67" s="4"/>
      <c r="V67" s="6">
        <v>1</v>
      </c>
      <c r="W67" s="6">
        <v>1.1000000000000001</v>
      </c>
      <c r="X67" s="6">
        <v>0.13</v>
      </c>
      <c r="Y67" s="6">
        <v>0.09</v>
      </c>
      <c r="Z67" s="6">
        <v>0.02</v>
      </c>
    </row>
    <row r="68" spans="1:26" x14ac:dyDescent="0.25">
      <c r="A68" s="4">
        <v>1976</v>
      </c>
      <c r="B68" s="31" t="s">
        <v>23</v>
      </c>
      <c r="C68" s="4">
        <v>30</v>
      </c>
      <c r="D68" s="4">
        <v>11</v>
      </c>
      <c r="E68" s="34">
        <v>2.04</v>
      </c>
      <c r="F68" s="13">
        <v>7.62</v>
      </c>
      <c r="G68" s="5">
        <v>11.4</v>
      </c>
      <c r="H68" s="5">
        <v>38.4</v>
      </c>
      <c r="I68" s="5">
        <v>50.4</v>
      </c>
      <c r="J68" s="5">
        <v>15</v>
      </c>
      <c r="K68" s="5">
        <v>29.7</v>
      </c>
      <c r="L68" s="4">
        <v>1297</v>
      </c>
      <c r="M68" s="5">
        <v>4.9000000000000004</v>
      </c>
      <c r="N68" s="14">
        <v>33.090000000000003</v>
      </c>
      <c r="O68" s="14">
        <v>50.83</v>
      </c>
      <c r="P68" s="14">
        <v>13.61</v>
      </c>
      <c r="Q68" s="14">
        <v>1.51</v>
      </c>
      <c r="R68" s="14">
        <v>0.96</v>
      </c>
      <c r="S68" s="4"/>
      <c r="T68" s="4"/>
      <c r="U68" s="4"/>
      <c r="V68" s="6">
        <v>0.68</v>
      </c>
      <c r="W68" s="6">
        <v>1.04</v>
      </c>
      <c r="X68" s="6">
        <v>0.28000000000000003</v>
      </c>
      <c r="Y68" s="6">
        <v>0.03</v>
      </c>
      <c r="Z68" s="6">
        <v>0.02</v>
      </c>
    </row>
    <row r="69" spans="1:26" x14ac:dyDescent="0.25">
      <c r="A69" s="4">
        <v>1976</v>
      </c>
      <c r="B69" s="31" t="s">
        <v>23</v>
      </c>
      <c r="C69" s="4">
        <v>30</v>
      </c>
      <c r="D69" s="4">
        <v>12</v>
      </c>
      <c r="E69" s="34">
        <v>3.14</v>
      </c>
      <c r="F69" s="13">
        <v>7.77</v>
      </c>
      <c r="G69" s="5">
        <v>11.4</v>
      </c>
      <c r="H69" s="5">
        <v>36.299999999999997</v>
      </c>
      <c r="I69" s="5">
        <v>46.7</v>
      </c>
      <c r="J69" s="5">
        <v>14.7</v>
      </c>
      <c r="K69" s="5">
        <v>31.4</v>
      </c>
      <c r="L69" s="4">
        <v>1021</v>
      </c>
      <c r="M69" s="5">
        <v>4.9000000000000004</v>
      </c>
      <c r="N69" s="14">
        <v>38.24</v>
      </c>
      <c r="O69" s="14">
        <v>44.88</v>
      </c>
      <c r="P69" s="14">
        <v>16.05</v>
      </c>
      <c r="Q69" s="14">
        <v>0.69</v>
      </c>
      <c r="R69" s="14">
        <v>0.15</v>
      </c>
      <c r="S69" s="4"/>
      <c r="T69" s="4"/>
      <c r="U69" s="4"/>
      <c r="V69" s="6">
        <v>1.2</v>
      </c>
      <c r="W69" s="6">
        <v>1.41</v>
      </c>
      <c r="X69" s="6">
        <v>0.5</v>
      </c>
      <c r="Y69" s="6">
        <v>0.02</v>
      </c>
      <c r="Z69" s="6">
        <v>0</v>
      </c>
    </row>
  </sheetData>
  <sortState xmlns:xlrd2="http://schemas.microsoft.com/office/spreadsheetml/2017/richdata2" ref="A2:BF104">
    <sortCondition ref="C2:C104"/>
    <sortCondition ref="B2:B104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4"/>
  <sheetViews>
    <sheetView workbookViewId="0">
      <selection activeCell="J12" sqref="J12:J21"/>
    </sheetView>
  </sheetViews>
  <sheetFormatPr defaultColWidth="8.85546875" defaultRowHeight="15" x14ac:dyDescent="0.25"/>
  <cols>
    <col min="1" max="1" width="5.5703125" bestFit="1" customWidth="1"/>
    <col min="2" max="2" width="7" bestFit="1" customWidth="1"/>
    <col min="3" max="3" width="3.85546875" bestFit="1" customWidth="1"/>
    <col min="4" max="4" width="8.85546875" bestFit="1" customWidth="1"/>
    <col min="5" max="5" width="8.42578125" style="4" bestFit="1" customWidth="1"/>
    <col min="6" max="6" width="25" style="4" bestFit="1" customWidth="1"/>
    <col min="7" max="7" width="21.5703125" style="4" bestFit="1" customWidth="1"/>
    <col min="8" max="8" width="14.140625" style="4" bestFit="1" customWidth="1"/>
    <col min="9" max="9" width="12.85546875" style="4" bestFit="1" customWidth="1"/>
    <col min="10" max="10" width="11.42578125" style="4" bestFit="1" customWidth="1"/>
    <col min="11" max="11" width="10.85546875" style="4" bestFit="1" customWidth="1"/>
    <col min="14" max="14" width="9" customWidth="1"/>
    <col min="15" max="15" width="11.5703125" customWidth="1"/>
    <col min="16" max="16" width="10.85546875" customWidth="1"/>
    <col min="17" max="25" width="34.42578125" customWidth="1"/>
    <col min="26" max="26" width="18" customWidth="1"/>
    <col min="27" max="27" width="35.85546875" customWidth="1"/>
    <col min="28" max="28" width="31.85546875" customWidth="1"/>
    <col min="29" max="29" width="24.42578125" customWidth="1"/>
    <col min="30" max="30" width="22.85546875" customWidth="1"/>
    <col min="31" max="31" width="21.42578125" customWidth="1"/>
    <col min="32" max="32" width="20.42578125" customWidth="1"/>
    <col min="33" max="49" width="34.42578125" customWidth="1"/>
    <col min="50" max="51" width="34.42578125" bestFit="1" customWidth="1"/>
    <col min="52" max="53" width="34.42578125" customWidth="1"/>
    <col min="54" max="54" width="18.85546875" customWidth="1"/>
    <col min="55" max="55" width="36.85546875" bestFit="1" customWidth="1"/>
    <col min="56" max="56" width="32.85546875" bestFit="1" customWidth="1"/>
    <col min="57" max="57" width="25.42578125" customWidth="1"/>
    <col min="58" max="58" width="23.5703125" customWidth="1"/>
    <col min="59" max="59" width="22.140625" customWidth="1"/>
    <col min="60" max="60" width="21.42578125" customWidth="1"/>
    <col min="61" max="62" width="34.42578125" customWidth="1"/>
    <col min="63" max="66" width="34.42578125" bestFit="1" customWidth="1"/>
    <col min="67" max="67" width="34.42578125" customWidth="1"/>
    <col min="68" max="68" width="23.140625" customWidth="1"/>
    <col min="69" max="69" width="41.140625" bestFit="1" customWidth="1"/>
    <col min="70" max="70" width="37.140625" bestFit="1" customWidth="1"/>
    <col min="71" max="71" width="29.85546875" bestFit="1" customWidth="1"/>
    <col min="72" max="72" width="28" bestFit="1" customWidth="1"/>
    <col min="73" max="73" width="26.42578125" bestFit="1" customWidth="1"/>
    <col min="74" max="74" width="25.5703125" bestFit="1" customWidth="1"/>
    <col min="75" max="75" width="21.42578125" bestFit="1" customWidth="1"/>
    <col min="76" max="76" width="39.42578125" bestFit="1" customWidth="1"/>
    <col min="77" max="77" width="35.42578125" bestFit="1" customWidth="1"/>
    <col min="78" max="78" width="27.85546875" bestFit="1" customWidth="1"/>
    <col min="79" max="79" width="26.140625" bestFit="1" customWidth="1"/>
    <col min="80" max="80" width="24.5703125" bestFit="1" customWidth="1"/>
    <col min="81" max="81" width="23.85546875" bestFit="1" customWidth="1"/>
  </cols>
  <sheetData>
    <row r="1" spans="1:11" ht="17.25" x14ac:dyDescent="0.25">
      <c r="A1" s="1" t="s">
        <v>17</v>
      </c>
      <c r="B1" s="1" t="s">
        <v>48</v>
      </c>
      <c r="C1" s="1" t="s">
        <v>18</v>
      </c>
      <c r="D1" s="1" t="s">
        <v>25</v>
      </c>
      <c r="E1" s="16" t="s">
        <v>66</v>
      </c>
      <c r="F1" s="16" t="s">
        <v>67</v>
      </c>
      <c r="G1" s="16" t="s">
        <v>49</v>
      </c>
      <c r="H1" s="16" t="s">
        <v>68</v>
      </c>
      <c r="I1" s="16" t="s">
        <v>50</v>
      </c>
      <c r="J1" s="16" t="s">
        <v>51</v>
      </c>
      <c r="K1" s="16" t="s">
        <v>52</v>
      </c>
    </row>
    <row r="2" spans="1:11" x14ac:dyDescent="0.25">
      <c r="A2" s="4">
        <v>1976</v>
      </c>
      <c r="B2" s="4">
        <v>8</v>
      </c>
      <c r="C2" s="4" t="s">
        <v>22</v>
      </c>
      <c r="D2" s="4">
        <v>1</v>
      </c>
      <c r="E2" s="9">
        <v>18.649999999999999</v>
      </c>
      <c r="F2" s="11">
        <v>4.7699999999999999E-2</v>
      </c>
      <c r="G2" s="8">
        <v>0.35970000000000002</v>
      </c>
      <c r="H2" s="8">
        <v>7.54</v>
      </c>
      <c r="I2" s="8">
        <v>13.89</v>
      </c>
      <c r="J2" s="8">
        <v>3.32</v>
      </c>
      <c r="K2" s="8">
        <v>19.309999999999999</v>
      </c>
    </row>
    <row r="3" spans="1:11" x14ac:dyDescent="0.25">
      <c r="A3" s="4">
        <v>1976</v>
      </c>
      <c r="B3" s="4">
        <v>8</v>
      </c>
      <c r="C3" s="4" t="s">
        <v>22</v>
      </c>
      <c r="D3" s="10">
        <v>2</v>
      </c>
      <c r="E3" s="9">
        <v>20.88</v>
      </c>
      <c r="F3" s="11">
        <v>4.7399999999999998E-2</v>
      </c>
      <c r="G3" s="8">
        <v>0.3679</v>
      </c>
      <c r="H3" s="8">
        <v>7.76</v>
      </c>
      <c r="I3" s="8">
        <v>14.81</v>
      </c>
      <c r="J3" s="8">
        <v>5</v>
      </c>
      <c r="K3" s="8">
        <v>25.24</v>
      </c>
    </row>
    <row r="4" spans="1:11" x14ac:dyDescent="0.25">
      <c r="A4" s="4">
        <v>1976</v>
      </c>
      <c r="B4" s="4">
        <v>8</v>
      </c>
      <c r="C4" s="4" t="s">
        <v>22</v>
      </c>
      <c r="D4" s="10">
        <v>3</v>
      </c>
      <c r="E4" s="9">
        <v>20.63</v>
      </c>
      <c r="F4" s="11">
        <v>4.99E-2</v>
      </c>
      <c r="G4" s="8">
        <v>0.42309999999999998</v>
      </c>
      <c r="H4" s="8">
        <v>8.48</v>
      </c>
      <c r="I4" s="8">
        <v>15.84</v>
      </c>
      <c r="J4" s="8">
        <v>3.09</v>
      </c>
      <c r="K4" s="8">
        <v>16.37</v>
      </c>
    </row>
    <row r="5" spans="1:11" x14ac:dyDescent="0.25">
      <c r="A5" s="4">
        <v>1976</v>
      </c>
      <c r="B5" s="4">
        <v>8</v>
      </c>
      <c r="C5" s="4" t="s">
        <v>22</v>
      </c>
      <c r="D5" s="10">
        <v>4</v>
      </c>
      <c r="E5" s="9">
        <v>19.03</v>
      </c>
      <c r="F5" s="11">
        <v>4.9399999999999999E-2</v>
      </c>
      <c r="G5" s="8">
        <v>0.38800000000000001</v>
      </c>
      <c r="H5" s="8">
        <v>7.86</v>
      </c>
      <c r="I5" s="8">
        <v>14.18</v>
      </c>
      <c r="J5" s="8">
        <v>3.48</v>
      </c>
      <c r="K5" s="8">
        <v>19.72</v>
      </c>
    </row>
    <row r="6" spans="1:11" x14ac:dyDescent="0.25">
      <c r="A6" s="4">
        <v>1976</v>
      </c>
      <c r="B6" s="4">
        <v>8</v>
      </c>
      <c r="C6" s="4" t="s">
        <v>22</v>
      </c>
      <c r="D6" s="10">
        <v>5</v>
      </c>
      <c r="E6" s="9">
        <v>19.29</v>
      </c>
      <c r="F6" s="11">
        <v>4.8899999999999999E-2</v>
      </c>
      <c r="G6" s="8">
        <v>0.37730000000000002</v>
      </c>
      <c r="H6" s="8">
        <v>7.71</v>
      </c>
      <c r="I6" s="8">
        <v>14.59</v>
      </c>
      <c r="J6" s="8">
        <v>3.41</v>
      </c>
      <c r="K6" s="8">
        <v>18.96</v>
      </c>
    </row>
    <row r="7" spans="1:11" x14ac:dyDescent="0.25">
      <c r="A7" s="4">
        <v>1976</v>
      </c>
      <c r="B7" s="4">
        <v>8</v>
      </c>
      <c r="C7" s="4" t="s">
        <v>22</v>
      </c>
      <c r="D7" s="10">
        <v>6</v>
      </c>
      <c r="E7" s="9">
        <v>19.87</v>
      </c>
      <c r="F7" s="11">
        <v>4.9799999999999997E-2</v>
      </c>
      <c r="G7" s="8">
        <v>0.41110000000000002</v>
      </c>
      <c r="H7" s="8">
        <v>8.26</v>
      </c>
      <c r="I7" s="8">
        <v>14.85</v>
      </c>
      <c r="J7" s="8">
        <v>3.73</v>
      </c>
      <c r="K7" s="8">
        <v>20.11</v>
      </c>
    </row>
    <row r="8" spans="1:11" x14ac:dyDescent="0.25">
      <c r="A8" s="4">
        <v>1976</v>
      </c>
      <c r="B8" s="4">
        <v>8</v>
      </c>
      <c r="C8" s="4" t="s">
        <v>22</v>
      </c>
      <c r="D8" s="10">
        <v>7</v>
      </c>
      <c r="E8" s="9">
        <v>20.52</v>
      </c>
      <c r="F8" s="11">
        <v>4.7500000000000001E-2</v>
      </c>
      <c r="G8" s="8">
        <v>0.35360000000000003</v>
      </c>
      <c r="H8" s="8">
        <v>7.44</v>
      </c>
      <c r="I8" s="8">
        <v>14.73</v>
      </c>
      <c r="J8" s="8">
        <v>4.4000000000000004</v>
      </c>
      <c r="K8" s="8">
        <v>23.05</v>
      </c>
    </row>
    <row r="9" spans="1:11" x14ac:dyDescent="0.25">
      <c r="A9" s="4">
        <v>1976</v>
      </c>
      <c r="B9" s="4">
        <v>8</v>
      </c>
      <c r="C9" s="4" t="s">
        <v>22</v>
      </c>
      <c r="D9" s="10">
        <v>8</v>
      </c>
      <c r="E9" s="9">
        <v>22.33</v>
      </c>
      <c r="F9" s="11">
        <v>5.11E-2</v>
      </c>
      <c r="G9" s="8">
        <v>0.4133</v>
      </c>
      <c r="H9" s="8">
        <v>8.09</v>
      </c>
      <c r="I9" s="8">
        <v>16.37</v>
      </c>
      <c r="J9" s="8">
        <v>3.67</v>
      </c>
      <c r="K9" s="8">
        <v>18.32</v>
      </c>
    </row>
    <row r="10" spans="1:11" x14ac:dyDescent="0.25">
      <c r="A10" s="4">
        <v>1976</v>
      </c>
      <c r="B10" s="4">
        <v>8</v>
      </c>
      <c r="C10" s="4" t="s">
        <v>22</v>
      </c>
      <c r="D10" s="10">
        <v>9</v>
      </c>
      <c r="E10" s="9">
        <v>18.79</v>
      </c>
      <c r="F10" s="11">
        <v>4.6600000000000003E-2</v>
      </c>
      <c r="G10" s="8">
        <v>0.35849999999999999</v>
      </c>
      <c r="H10" s="8">
        <v>7.69</v>
      </c>
      <c r="I10" s="8">
        <v>13.45</v>
      </c>
      <c r="J10" s="8">
        <v>3.86</v>
      </c>
      <c r="K10" s="8">
        <v>22.34</v>
      </c>
    </row>
    <row r="11" spans="1:11" x14ac:dyDescent="0.25">
      <c r="A11" s="4">
        <v>1976</v>
      </c>
      <c r="B11" s="4">
        <v>8</v>
      </c>
      <c r="C11" s="4" t="s">
        <v>22</v>
      </c>
      <c r="D11" s="10">
        <v>10</v>
      </c>
      <c r="E11" s="9">
        <v>19.12</v>
      </c>
      <c r="F11" s="11">
        <v>4.6899999999999997E-2</v>
      </c>
      <c r="G11" s="8">
        <v>0.35620000000000002</v>
      </c>
      <c r="H11" s="8">
        <v>7.6</v>
      </c>
      <c r="I11" s="8">
        <v>14.16</v>
      </c>
      <c r="J11" s="8">
        <v>3.55</v>
      </c>
      <c r="K11" s="8">
        <v>20.05</v>
      </c>
    </row>
    <row r="12" spans="1:11" x14ac:dyDescent="0.25">
      <c r="A12" s="4">
        <v>1976</v>
      </c>
      <c r="B12" s="31">
        <v>8</v>
      </c>
      <c r="C12" s="31" t="s">
        <v>23</v>
      </c>
      <c r="D12" s="4">
        <v>1</v>
      </c>
      <c r="E12" s="9">
        <v>18.649999999999999</v>
      </c>
      <c r="F12" s="11">
        <v>4.9799999999999997E-2</v>
      </c>
      <c r="G12" s="8">
        <v>0.3851</v>
      </c>
      <c r="H12" s="8">
        <v>7.73</v>
      </c>
      <c r="I12" s="8">
        <v>17.462008000000001</v>
      </c>
      <c r="J12" s="32">
        <v>5.0579919999999996</v>
      </c>
      <c r="K12" s="6">
        <v>22.46</v>
      </c>
    </row>
    <row r="13" spans="1:11" x14ac:dyDescent="0.25">
      <c r="A13" s="4">
        <v>1976</v>
      </c>
      <c r="B13" s="31">
        <v>8</v>
      </c>
      <c r="C13" s="31" t="s">
        <v>23</v>
      </c>
      <c r="D13" s="10">
        <v>2</v>
      </c>
      <c r="E13" s="9">
        <v>26.98</v>
      </c>
      <c r="F13" s="11">
        <v>5.3100000000000001E-2</v>
      </c>
      <c r="G13" s="8">
        <v>0.42549999999999999</v>
      </c>
      <c r="H13" s="8">
        <v>8.02</v>
      </c>
      <c r="I13" s="8">
        <v>20.303963</v>
      </c>
      <c r="J13" s="32">
        <v>4.2860370000000003</v>
      </c>
      <c r="K13" s="6">
        <v>17.43</v>
      </c>
    </row>
    <row r="14" spans="1:11" x14ac:dyDescent="0.25">
      <c r="A14" s="4">
        <v>1976</v>
      </c>
      <c r="B14" s="31">
        <v>8</v>
      </c>
      <c r="C14" s="31" t="s">
        <v>23</v>
      </c>
      <c r="D14" s="10">
        <v>3</v>
      </c>
      <c r="E14" s="9">
        <v>24.53</v>
      </c>
      <c r="F14" s="11">
        <v>5.2600000000000001E-2</v>
      </c>
      <c r="G14" s="8">
        <v>0.45619999999999999</v>
      </c>
      <c r="H14" s="8">
        <v>8.68</v>
      </c>
      <c r="I14" s="8">
        <v>18.712092000000002</v>
      </c>
      <c r="J14" s="32">
        <v>4.4579079999999998</v>
      </c>
      <c r="K14" s="6">
        <v>19.239999999999998</v>
      </c>
    </row>
    <row r="15" spans="1:11" x14ac:dyDescent="0.25">
      <c r="A15" s="4">
        <v>1976</v>
      </c>
      <c r="B15" s="31">
        <v>8</v>
      </c>
      <c r="C15" s="31" t="s">
        <v>23</v>
      </c>
      <c r="D15" s="10">
        <v>4</v>
      </c>
      <c r="E15" s="9">
        <v>24.99</v>
      </c>
      <c r="F15" s="11">
        <v>4.8800000000000003E-2</v>
      </c>
      <c r="G15" s="8">
        <v>0.45269999999999999</v>
      </c>
      <c r="H15" s="8">
        <v>9.27</v>
      </c>
      <c r="I15" s="8">
        <v>19.085560000000001</v>
      </c>
      <c r="J15" s="32">
        <v>4.03444</v>
      </c>
      <c r="K15" s="6">
        <v>17.45</v>
      </c>
    </row>
    <row r="16" spans="1:11" x14ac:dyDescent="0.25">
      <c r="A16" s="4">
        <v>1976</v>
      </c>
      <c r="B16" s="31">
        <v>8</v>
      </c>
      <c r="C16" s="31" t="s">
        <v>23</v>
      </c>
      <c r="D16" s="10">
        <v>5</v>
      </c>
      <c r="E16" s="9">
        <v>25.57</v>
      </c>
      <c r="F16" s="11">
        <v>5.2400000000000002E-2</v>
      </c>
      <c r="G16" s="8">
        <v>0.48659999999999998</v>
      </c>
      <c r="H16" s="8">
        <v>9.2799999999999994</v>
      </c>
      <c r="I16" s="8">
        <v>19.646847000000001</v>
      </c>
      <c r="J16" s="32">
        <v>4.263153</v>
      </c>
      <c r="K16" s="6">
        <v>17.829999999999998</v>
      </c>
    </row>
    <row r="17" spans="1:11" x14ac:dyDescent="0.25">
      <c r="A17" s="4">
        <v>1976</v>
      </c>
      <c r="B17" s="31">
        <v>8</v>
      </c>
      <c r="C17" s="31" t="s">
        <v>23</v>
      </c>
      <c r="D17" s="10">
        <v>6</v>
      </c>
      <c r="E17" s="9">
        <v>25.65</v>
      </c>
      <c r="F17" s="11">
        <v>5.1400000000000001E-2</v>
      </c>
      <c r="G17" s="8">
        <v>0.45140000000000002</v>
      </c>
      <c r="H17" s="8">
        <v>8.7799999999999994</v>
      </c>
      <c r="I17" s="8">
        <v>18.730201000000001</v>
      </c>
      <c r="J17" s="32">
        <v>5.2797990000000006</v>
      </c>
      <c r="K17" s="6">
        <v>21.99</v>
      </c>
    </row>
    <row r="18" spans="1:11" x14ac:dyDescent="0.25">
      <c r="A18" s="4">
        <v>1976</v>
      </c>
      <c r="B18" s="31">
        <v>8</v>
      </c>
      <c r="C18" s="31" t="s">
        <v>23</v>
      </c>
      <c r="D18" s="10">
        <v>7</v>
      </c>
      <c r="E18" s="9">
        <v>23.25</v>
      </c>
      <c r="F18" s="11">
        <v>5.2200000000000003E-2</v>
      </c>
      <c r="G18" s="8">
        <v>0.38900000000000001</v>
      </c>
      <c r="H18" s="8">
        <v>7.45</v>
      </c>
      <c r="I18" s="8">
        <v>17.879854999999999</v>
      </c>
      <c r="J18" s="32">
        <v>3.9701450000000005</v>
      </c>
      <c r="K18" s="6">
        <v>18.170000000000002</v>
      </c>
    </row>
    <row r="19" spans="1:11" x14ac:dyDescent="0.25">
      <c r="A19" s="4">
        <v>1976</v>
      </c>
      <c r="B19" s="31">
        <v>8</v>
      </c>
      <c r="C19" s="31" t="s">
        <v>23</v>
      </c>
      <c r="D19" s="10">
        <v>8</v>
      </c>
      <c r="E19" s="9">
        <v>24.64</v>
      </c>
      <c r="F19" s="11">
        <v>5.2999999999999999E-2</v>
      </c>
      <c r="G19" s="8">
        <v>0.4531</v>
      </c>
      <c r="H19" s="8">
        <v>8.56</v>
      </c>
      <c r="I19" s="8">
        <v>18.9297</v>
      </c>
      <c r="J19" s="32">
        <v>4.4403000000000006</v>
      </c>
      <c r="K19" s="6">
        <v>19</v>
      </c>
    </row>
    <row r="20" spans="1:11" x14ac:dyDescent="0.25">
      <c r="A20" s="4">
        <v>1976</v>
      </c>
      <c r="B20" s="31">
        <v>8</v>
      </c>
      <c r="C20" s="31" t="s">
        <v>23</v>
      </c>
      <c r="D20" s="10">
        <v>9</v>
      </c>
      <c r="E20" s="9">
        <v>26.05</v>
      </c>
      <c r="F20" s="11">
        <v>5.2299999999999999E-2</v>
      </c>
      <c r="G20" s="8">
        <v>0.4224</v>
      </c>
      <c r="H20" s="8">
        <v>8.08</v>
      </c>
      <c r="I20" s="8">
        <v>20.29458</v>
      </c>
      <c r="J20" s="32">
        <v>4.2454200000000002</v>
      </c>
      <c r="K20" s="6">
        <v>17.3</v>
      </c>
    </row>
    <row r="21" spans="1:11" x14ac:dyDescent="0.25">
      <c r="A21" s="4">
        <v>1976</v>
      </c>
      <c r="B21" s="31">
        <v>8</v>
      </c>
      <c r="C21" s="31" t="s">
        <v>23</v>
      </c>
      <c r="D21" s="10">
        <v>10</v>
      </c>
      <c r="E21" s="9">
        <v>23.63</v>
      </c>
      <c r="F21" s="11">
        <v>5.2499999999999998E-2</v>
      </c>
      <c r="G21" s="8">
        <v>0.4652</v>
      </c>
      <c r="H21" s="8">
        <v>8.81</v>
      </c>
      <c r="I21" s="8">
        <v>17.079341999999997</v>
      </c>
      <c r="J21" s="32">
        <v>3.500658</v>
      </c>
      <c r="K21" s="6">
        <v>17.010000000000002</v>
      </c>
    </row>
    <row r="22" spans="1:11" x14ac:dyDescent="0.25">
      <c r="A22" s="4">
        <v>1976</v>
      </c>
      <c r="B22" s="4">
        <v>16</v>
      </c>
      <c r="C22" s="4" t="s">
        <v>22</v>
      </c>
      <c r="D22" s="4">
        <v>1</v>
      </c>
      <c r="E22" s="9">
        <v>21.82</v>
      </c>
      <c r="F22" s="12">
        <v>6.0100000000000001E-2</v>
      </c>
      <c r="G22" s="6">
        <v>0.52400000000000002</v>
      </c>
      <c r="H22" s="6">
        <v>8.7200000000000006</v>
      </c>
      <c r="I22" s="6">
        <v>16.341498000000001</v>
      </c>
      <c r="J22" s="6">
        <v>3.2785020000000005</v>
      </c>
      <c r="K22" s="6">
        <v>16.71</v>
      </c>
    </row>
    <row r="23" spans="1:11" x14ac:dyDescent="0.25">
      <c r="A23" s="4">
        <v>1976</v>
      </c>
      <c r="B23" s="4">
        <v>16</v>
      </c>
      <c r="C23" s="4" t="s">
        <v>22</v>
      </c>
      <c r="D23" s="10">
        <v>2</v>
      </c>
      <c r="E23" s="9">
        <v>23.75</v>
      </c>
      <c r="F23" s="12">
        <v>5.9700000000000003E-2</v>
      </c>
      <c r="G23" s="6">
        <v>0.52329999999999999</v>
      </c>
      <c r="H23" s="6">
        <v>8.76</v>
      </c>
      <c r="I23" s="6">
        <v>17.543279999999999</v>
      </c>
      <c r="J23" s="6">
        <v>4.2767200000000001</v>
      </c>
      <c r="K23" s="6">
        <v>19.600000000000001</v>
      </c>
    </row>
    <row r="24" spans="1:11" x14ac:dyDescent="0.25">
      <c r="A24" s="4">
        <v>1976</v>
      </c>
      <c r="B24" s="4">
        <v>16</v>
      </c>
      <c r="C24" s="4" t="s">
        <v>22</v>
      </c>
      <c r="D24" s="10">
        <v>3</v>
      </c>
      <c r="E24" s="9">
        <v>21.87</v>
      </c>
      <c r="F24" s="12">
        <v>5.5E-2</v>
      </c>
      <c r="G24" s="6">
        <v>0.49170000000000003</v>
      </c>
      <c r="H24" s="6">
        <v>8.94</v>
      </c>
      <c r="I24" s="6">
        <v>16.230374999999999</v>
      </c>
      <c r="J24" s="6">
        <v>4.0196250000000004</v>
      </c>
      <c r="K24" s="6">
        <v>19.850000000000001</v>
      </c>
    </row>
    <row r="25" spans="1:11" x14ac:dyDescent="0.25">
      <c r="A25" s="4">
        <v>1976</v>
      </c>
      <c r="B25" s="4">
        <v>16</v>
      </c>
      <c r="C25" s="4" t="s">
        <v>22</v>
      </c>
      <c r="D25" s="10">
        <v>4</v>
      </c>
      <c r="E25" s="9">
        <v>23.52</v>
      </c>
      <c r="F25" s="12">
        <v>5.67E-2</v>
      </c>
      <c r="G25" s="6">
        <v>0.53549999999999998</v>
      </c>
      <c r="H25" s="6">
        <v>9.44</v>
      </c>
      <c r="I25" s="6">
        <v>16.779799999999998</v>
      </c>
      <c r="J25" s="6">
        <v>4.4202000000000004</v>
      </c>
      <c r="K25" s="6">
        <v>20.85</v>
      </c>
    </row>
    <row r="26" spans="1:11" x14ac:dyDescent="0.25">
      <c r="A26" s="4">
        <v>1976</v>
      </c>
      <c r="B26" s="4">
        <v>16</v>
      </c>
      <c r="C26" s="4" t="s">
        <v>22</v>
      </c>
      <c r="D26" s="10">
        <v>5</v>
      </c>
      <c r="E26" s="9">
        <v>24.39</v>
      </c>
      <c r="F26" s="12">
        <v>5.7099999999999998E-2</v>
      </c>
      <c r="G26" s="6">
        <v>0.45989999999999998</v>
      </c>
      <c r="H26" s="6">
        <v>8.0500000000000007</v>
      </c>
      <c r="I26" s="6">
        <v>17.335996999999999</v>
      </c>
      <c r="J26" s="6">
        <v>5.5740030000000003</v>
      </c>
      <c r="K26" s="6">
        <v>24.33</v>
      </c>
    </row>
    <row r="27" spans="1:11" x14ac:dyDescent="0.25">
      <c r="A27" s="4">
        <v>1976</v>
      </c>
      <c r="B27" s="4">
        <v>16</v>
      </c>
      <c r="C27" s="4" t="s">
        <v>22</v>
      </c>
      <c r="D27" s="10">
        <v>6</v>
      </c>
      <c r="E27" s="9">
        <v>23.65</v>
      </c>
      <c r="F27" s="12">
        <v>5.6399999999999999E-2</v>
      </c>
      <c r="G27" s="6">
        <v>0.46539999999999998</v>
      </c>
      <c r="H27" s="6">
        <v>8.25</v>
      </c>
      <c r="I27" s="6">
        <v>17.535880000000002</v>
      </c>
      <c r="J27" s="6">
        <v>4.4941199999999997</v>
      </c>
      <c r="K27" s="6">
        <v>20.399999999999999</v>
      </c>
    </row>
    <row r="28" spans="1:11" x14ac:dyDescent="0.25">
      <c r="A28" s="4">
        <v>1976</v>
      </c>
      <c r="B28" s="4">
        <v>16</v>
      </c>
      <c r="C28" s="4" t="s">
        <v>22</v>
      </c>
      <c r="D28" s="10">
        <v>7</v>
      </c>
      <c r="E28" s="9">
        <v>20.99</v>
      </c>
      <c r="F28" s="12">
        <v>5.6099999999999997E-2</v>
      </c>
      <c r="G28" s="6">
        <v>0.5232</v>
      </c>
      <c r="H28" s="6">
        <v>9.33</v>
      </c>
      <c r="I28" s="6">
        <v>16.107659999999999</v>
      </c>
      <c r="J28" s="6">
        <v>3.4523399999999991</v>
      </c>
      <c r="K28" s="6">
        <v>17.649999999999999</v>
      </c>
    </row>
    <row r="29" spans="1:11" x14ac:dyDescent="0.25">
      <c r="A29" s="4">
        <v>1976</v>
      </c>
      <c r="B29" s="4">
        <v>16</v>
      </c>
      <c r="C29" s="4" t="s">
        <v>22</v>
      </c>
      <c r="D29" s="10">
        <v>8</v>
      </c>
      <c r="E29" s="9">
        <v>22.33</v>
      </c>
      <c r="F29" s="12">
        <v>5.6000000000000001E-2</v>
      </c>
      <c r="G29" s="6">
        <v>0.49170000000000003</v>
      </c>
      <c r="H29" s="6">
        <v>8.7799999999999994</v>
      </c>
      <c r="I29" s="6">
        <v>16.196558</v>
      </c>
      <c r="J29" s="6">
        <v>3.8934419999999998</v>
      </c>
      <c r="K29" s="6">
        <v>19.38</v>
      </c>
    </row>
    <row r="30" spans="1:11" x14ac:dyDescent="0.25">
      <c r="A30" s="4">
        <v>1976</v>
      </c>
      <c r="B30" s="4">
        <v>16</v>
      </c>
      <c r="C30" s="4" t="s">
        <v>22</v>
      </c>
      <c r="D30" s="10">
        <v>9</v>
      </c>
      <c r="E30" s="9">
        <v>24.22</v>
      </c>
      <c r="F30" s="12">
        <v>5.7700000000000001E-2</v>
      </c>
      <c r="G30" s="6">
        <v>0.54330000000000001</v>
      </c>
      <c r="H30" s="6">
        <v>9.42</v>
      </c>
      <c r="I30" s="6">
        <v>17.974862999999999</v>
      </c>
      <c r="J30" s="6">
        <v>4.6151369999999998</v>
      </c>
      <c r="K30" s="6">
        <v>20.43</v>
      </c>
    </row>
    <row r="31" spans="1:11" x14ac:dyDescent="0.25">
      <c r="A31" s="4">
        <v>1976</v>
      </c>
      <c r="B31" s="4">
        <v>16</v>
      </c>
      <c r="C31" s="4" t="s">
        <v>22</v>
      </c>
      <c r="D31" s="10">
        <v>10</v>
      </c>
      <c r="E31" s="9">
        <v>25.08</v>
      </c>
      <c r="F31" s="12">
        <v>5.8099999999999999E-2</v>
      </c>
      <c r="G31" s="6">
        <v>0.55259999999999998</v>
      </c>
      <c r="H31" s="6">
        <v>9.51</v>
      </c>
      <c r="I31" s="6">
        <v>17.913095999999999</v>
      </c>
      <c r="J31" s="6">
        <v>4.946904</v>
      </c>
      <c r="K31" s="6">
        <v>21.64</v>
      </c>
    </row>
    <row r="32" spans="1:11" x14ac:dyDescent="0.25">
      <c r="A32" s="4">
        <v>1976</v>
      </c>
      <c r="B32" s="4">
        <v>16</v>
      </c>
      <c r="C32" s="4" t="s">
        <v>23</v>
      </c>
      <c r="D32" s="4">
        <v>1</v>
      </c>
      <c r="E32" s="9">
        <v>26.14</v>
      </c>
      <c r="F32" s="12">
        <v>5.2400000000000002E-2</v>
      </c>
      <c r="G32" s="6">
        <v>0.4461</v>
      </c>
      <c r="H32" s="6">
        <v>8.52</v>
      </c>
      <c r="I32" s="6">
        <v>18.746936999999999</v>
      </c>
      <c r="J32" s="6">
        <v>5.2230629999999998</v>
      </c>
      <c r="K32" s="6">
        <v>21.79</v>
      </c>
    </row>
    <row r="33" spans="1:11" x14ac:dyDescent="0.25">
      <c r="A33" s="4">
        <v>1976</v>
      </c>
      <c r="B33" s="4">
        <v>16</v>
      </c>
      <c r="C33" s="4" t="s">
        <v>23</v>
      </c>
      <c r="D33" s="10">
        <v>2</v>
      </c>
      <c r="E33" s="9">
        <v>28.66</v>
      </c>
      <c r="F33" s="12">
        <v>5.8799999999999998E-2</v>
      </c>
      <c r="G33" s="6">
        <v>0.55279999999999996</v>
      </c>
      <c r="H33" s="6">
        <v>9.4</v>
      </c>
      <c r="I33" s="6">
        <v>21.909132</v>
      </c>
      <c r="J33" s="6">
        <v>4.900868</v>
      </c>
      <c r="K33" s="6">
        <v>18.28</v>
      </c>
    </row>
    <row r="34" spans="1:11" x14ac:dyDescent="0.25">
      <c r="A34" s="4">
        <v>1976</v>
      </c>
      <c r="B34" s="4">
        <v>16</v>
      </c>
      <c r="C34" s="4" t="s">
        <v>23</v>
      </c>
      <c r="D34" s="10">
        <v>3</v>
      </c>
      <c r="E34" s="9">
        <v>30.98</v>
      </c>
      <c r="F34" s="12">
        <v>5.8500000000000003E-2</v>
      </c>
      <c r="G34" s="6">
        <v>0.51190000000000002</v>
      </c>
      <c r="H34" s="6">
        <v>8.76</v>
      </c>
      <c r="I34" s="6">
        <v>22.439872000000001</v>
      </c>
      <c r="J34" s="6">
        <v>6.6801280000000007</v>
      </c>
      <c r="K34" s="6">
        <v>22.94</v>
      </c>
    </row>
    <row r="35" spans="1:11" x14ac:dyDescent="0.25">
      <c r="A35" s="4">
        <v>1976</v>
      </c>
      <c r="B35" s="4">
        <v>16</v>
      </c>
      <c r="C35" s="4" t="s">
        <v>23</v>
      </c>
      <c r="D35" s="10">
        <v>4</v>
      </c>
      <c r="E35" s="9">
        <v>29.6</v>
      </c>
      <c r="F35" s="12">
        <v>5.7799999999999997E-2</v>
      </c>
      <c r="G35" s="6">
        <v>0.50570000000000004</v>
      </c>
      <c r="H35" s="6">
        <v>8.75</v>
      </c>
      <c r="I35" s="6">
        <v>22.52525</v>
      </c>
      <c r="J35" s="6">
        <v>4.9747500000000002</v>
      </c>
      <c r="K35" s="6">
        <v>18.09</v>
      </c>
    </row>
    <row r="36" spans="1:11" x14ac:dyDescent="0.25">
      <c r="A36" s="4">
        <v>1976</v>
      </c>
      <c r="B36" s="4">
        <v>16</v>
      </c>
      <c r="C36" s="4" t="s">
        <v>23</v>
      </c>
      <c r="D36" s="10">
        <v>5</v>
      </c>
      <c r="E36" s="9">
        <v>30.66</v>
      </c>
      <c r="F36" s="12">
        <v>5.8200000000000002E-2</v>
      </c>
      <c r="G36" s="6">
        <v>0.49490000000000001</v>
      </c>
      <c r="H36" s="6">
        <v>8.5</v>
      </c>
      <c r="I36" s="6">
        <v>23.098404000000002</v>
      </c>
      <c r="J36" s="6">
        <v>5.8215959999999995</v>
      </c>
      <c r="K36" s="6">
        <v>20.13</v>
      </c>
    </row>
    <row r="37" spans="1:11" x14ac:dyDescent="0.25">
      <c r="A37" s="4">
        <v>1976</v>
      </c>
      <c r="B37" s="4">
        <v>16</v>
      </c>
      <c r="C37" s="4" t="s">
        <v>23</v>
      </c>
      <c r="D37" s="10">
        <v>6</v>
      </c>
      <c r="E37" s="9">
        <v>29.29</v>
      </c>
      <c r="F37" s="12">
        <v>5.7099999999999998E-2</v>
      </c>
      <c r="G37" s="6">
        <v>0.51380000000000003</v>
      </c>
      <c r="H37" s="6">
        <v>9</v>
      </c>
      <c r="I37" s="6">
        <v>21.757784999999998</v>
      </c>
      <c r="J37" s="6">
        <v>4.4722150000000003</v>
      </c>
      <c r="K37" s="6">
        <v>17.05</v>
      </c>
    </row>
    <row r="38" spans="1:11" x14ac:dyDescent="0.25">
      <c r="A38" s="4">
        <v>1976</v>
      </c>
      <c r="B38" s="4">
        <v>16</v>
      </c>
      <c r="C38" s="4" t="s">
        <v>23</v>
      </c>
      <c r="D38" s="10">
        <v>7</v>
      </c>
      <c r="E38" s="9">
        <v>20.86</v>
      </c>
      <c r="F38" s="12">
        <v>5.9499999999999997E-2</v>
      </c>
      <c r="G38" s="6">
        <v>0.49530000000000002</v>
      </c>
      <c r="H38" s="6">
        <v>9.32</v>
      </c>
      <c r="I38" s="6">
        <v>22.406285</v>
      </c>
      <c r="J38" s="6">
        <v>6.5237149999999993</v>
      </c>
      <c r="K38" s="6">
        <v>22.55</v>
      </c>
    </row>
    <row r="39" spans="1:11" x14ac:dyDescent="0.25">
      <c r="A39" s="4">
        <v>1976</v>
      </c>
      <c r="B39" s="4">
        <v>16</v>
      </c>
      <c r="C39" s="4" t="s">
        <v>23</v>
      </c>
      <c r="D39" s="10">
        <v>8</v>
      </c>
      <c r="E39" s="9">
        <v>27.81</v>
      </c>
      <c r="F39" s="12">
        <v>5.5800000000000002E-2</v>
      </c>
      <c r="G39" s="6">
        <v>0.45400000000000001</v>
      </c>
      <c r="H39" s="6">
        <v>8.14</v>
      </c>
      <c r="I39" s="6">
        <v>19.468485000000001</v>
      </c>
      <c r="J39" s="6">
        <v>5.481514999999999</v>
      </c>
      <c r="K39" s="6">
        <v>21.97</v>
      </c>
    </row>
    <row r="40" spans="1:11" ht="15.75" x14ac:dyDescent="0.25">
      <c r="A40" s="4">
        <v>1976</v>
      </c>
      <c r="B40" s="4">
        <v>30</v>
      </c>
      <c r="C40" s="4" t="s">
        <v>22</v>
      </c>
      <c r="D40" s="4">
        <v>1</v>
      </c>
      <c r="E40" s="7">
        <v>27.66</v>
      </c>
      <c r="F40" s="11">
        <v>6.2300000000000001E-2</v>
      </c>
      <c r="G40" s="8">
        <v>0.53</v>
      </c>
      <c r="H40" s="8">
        <v>8.51</v>
      </c>
      <c r="I40" s="8">
        <v>18.8</v>
      </c>
      <c r="J40" s="8">
        <v>6.8</v>
      </c>
      <c r="K40" s="8">
        <v>26.5</v>
      </c>
    </row>
    <row r="41" spans="1:11" ht="15.75" x14ac:dyDescent="0.25">
      <c r="A41" s="4">
        <v>1976</v>
      </c>
      <c r="B41" s="4">
        <v>30</v>
      </c>
      <c r="C41" s="4" t="s">
        <v>22</v>
      </c>
      <c r="D41" s="10">
        <v>2</v>
      </c>
      <c r="E41" s="7">
        <v>22.83</v>
      </c>
      <c r="F41" s="11">
        <v>5.8900000000000001E-2</v>
      </c>
      <c r="G41" s="8">
        <v>0.50600000000000001</v>
      </c>
      <c r="H41" s="8">
        <v>8.59</v>
      </c>
      <c r="I41" s="8">
        <v>17</v>
      </c>
      <c r="J41" s="8">
        <v>3.8</v>
      </c>
      <c r="K41" s="8">
        <v>18.3</v>
      </c>
    </row>
    <row r="42" spans="1:11" ht="15.75" x14ac:dyDescent="0.25">
      <c r="A42" s="4">
        <v>1976</v>
      </c>
      <c r="B42" s="4">
        <v>30</v>
      </c>
      <c r="C42" s="4" t="s">
        <v>22</v>
      </c>
      <c r="D42" s="10">
        <v>3</v>
      </c>
      <c r="E42" s="7">
        <v>27.82</v>
      </c>
      <c r="F42" s="11">
        <v>6.0400000000000002E-2</v>
      </c>
      <c r="G42" s="8">
        <v>0.64</v>
      </c>
      <c r="H42" s="8">
        <v>10.6</v>
      </c>
      <c r="I42" s="8">
        <v>16.7</v>
      </c>
      <c r="J42" s="8">
        <v>8.5</v>
      </c>
      <c r="K42" s="8">
        <v>33.700000000000003</v>
      </c>
    </row>
    <row r="43" spans="1:11" ht="15.75" x14ac:dyDescent="0.25">
      <c r="A43" s="4">
        <v>1976</v>
      </c>
      <c r="B43" s="4">
        <v>30</v>
      </c>
      <c r="C43" s="4" t="s">
        <v>22</v>
      </c>
      <c r="D43" s="10">
        <v>4</v>
      </c>
      <c r="E43" s="7">
        <v>24.41</v>
      </c>
      <c r="F43" s="11">
        <v>6.1199999999999997E-2</v>
      </c>
      <c r="G43" s="8">
        <v>0.59</v>
      </c>
      <c r="H43" s="8">
        <v>9.65</v>
      </c>
      <c r="I43" s="8">
        <v>18</v>
      </c>
      <c r="J43" s="8">
        <v>5</v>
      </c>
      <c r="K43" s="8">
        <v>21.7</v>
      </c>
    </row>
    <row r="44" spans="1:11" ht="15.75" x14ac:dyDescent="0.25">
      <c r="A44" s="4">
        <v>1976</v>
      </c>
      <c r="B44" s="4">
        <v>30</v>
      </c>
      <c r="C44" s="4" t="s">
        <v>22</v>
      </c>
      <c r="D44" s="10">
        <v>5</v>
      </c>
      <c r="E44" s="7">
        <v>26.22</v>
      </c>
      <c r="F44" s="11">
        <v>6.3899999999999998E-2</v>
      </c>
      <c r="G44" s="8">
        <v>0.59</v>
      </c>
      <c r="H44" s="8">
        <v>9.24</v>
      </c>
      <c r="I44" s="8">
        <v>19.2</v>
      </c>
      <c r="J44" s="8">
        <v>5.6</v>
      </c>
      <c r="K44" s="8">
        <v>22.4</v>
      </c>
    </row>
    <row r="45" spans="1:11" ht="15.75" x14ac:dyDescent="0.25">
      <c r="A45" s="4">
        <v>1976</v>
      </c>
      <c r="B45" s="31">
        <v>30</v>
      </c>
      <c r="C45" s="31" t="s">
        <v>23</v>
      </c>
      <c r="D45" s="4">
        <v>1</v>
      </c>
      <c r="E45" s="7">
        <v>30.54</v>
      </c>
      <c r="F45" s="11">
        <v>5.91E-2</v>
      </c>
      <c r="G45" s="8">
        <v>0.78900000000000003</v>
      </c>
      <c r="H45" s="8">
        <v>8.27</v>
      </c>
      <c r="I45" s="8">
        <v>21.4</v>
      </c>
      <c r="J45" s="32">
        <v>6.7</v>
      </c>
      <c r="K45" s="8">
        <v>23.9</v>
      </c>
    </row>
    <row r="46" spans="1:11" ht="15.75" x14ac:dyDescent="0.25">
      <c r="A46" s="4">
        <v>1976</v>
      </c>
      <c r="B46" s="31">
        <v>30</v>
      </c>
      <c r="C46" s="31" t="s">
        <v>23</v>
      </c>
      <c r="D46" s="10">
        <v>2</v>
      </c>
      <c r="E46" s="7">
        <v>27.51</v>
      </c>
      <c r="F46" s="11">
        <v>5.8700000000000002E-2</v>
      </c>
      <c r="G46" s="8">
        <v>0.55900000000000005</v>
      </c>
      <c r="H46" s="8">
        <v>9.52</v>
      </c>
      <c r="I46" s="8">
        <v>20.7</v>
      </c>
      <c r="J46" s="32">
        <v>5.9</v>
      </c>
      <c r="K46" s="8">
        <v>22.2</v>
      </c>
    </row>
    <row r="47" spans="1:11" ht="15.75" x14ac:dyDescent="0.25">
      <c r="A47" s="4">
        <v>1976</v>
      </c>
      <c r="B47" s="31">
        <v>30</v>
      </c>
      <c r="C47" s="31" t="s">
        <v>23</v>
      </c>
      <c r="D47" s="10">
        <v>3</v>
      </c>
      <c r="E47" s="7">
        <v>33.04</v>
      </c>
      <c r="F47" s="11">
        <v>5.9900000000000002E-2</v>
      </c>
      <c r="G47" s="8">
        <v>0.55800000000000005</v>
      </c>
      <c r="H47" s="8">
        <v>9.3000000000000007</v>
      </c>
      <c r="I47" s="8">
        <v>26.3</v>
      </c>
      <c r="J47" s="32">
        <v>6</v>
      </c>
      <c r="K47" s="8">
        <v>18.7</v>
      </c>
    </row>
    <row r="48" spans="1:11" ht="15.75" x14ac:dyDescent="0.25">
      <c r="A48" s="4">
        <v>1976</v>
      </c>
      <c r="B48" s="31">
        <v>30</v>
      </c>
      <c r="C48" s="31" t="s">
        <v>23</v>
      </c>
      <c r="D48" s="10">
        <v>4</v>
      </c>
      <c r="E48" s="7">
        <v>30.56</v>
      </c>
      <c r="F48" s="11">
        <v>5.91E-2</v>
      </c>
      <c r="G48" s="8">
        <v>0.53400000000000003</v>
      </c>
      <c r="H48" s="8">
        <v>9.0500000000000007</v>
      </c>
      <c r="I48" s="8">
        <v>21.5</v>
      </c>
      <c r="J48" s="32">
        <v>6.7</v>
      </c>
      <c r="K48" s="8">
        <v>23.7</v>
      </c>
    </row>
    <row r="49" spans="1:11" ht="15.75" x14ac:dyDescent="0.25">
      <c r="A49" s="4">
        <v>1976</v>
      </c>
      <c r="B49" s="31">
        <v>30</v>
      </c>
      <c r="C49" s="31" t="s">
        <v>23</v>
      </c>
      <c r="D49" s="10">
        <v>5</v>
      </c>
      <c r="E49" s="7">
        <v>34.94</v>
      </c>
      <c r="F49" s="11">
        <v>6.2799999999999995E-2</v>
      </c>
      <c r="G49" s="8">
        <v>0.65400000000000003</v>
      </c>
      <c r="H49" s="8">
        <v>10.4</v>
      </c>
      <c r="I49" s="8">
        <v>25.4</v>
      </c>
      <c r="J49" s="32">
        <v>7.4</v>
      </c>
      <c r="K49" s="8">
        <v>22.4</v>
      </c>
    </row>
    <row r="50" spans="1:11" ht="15.75" x14ac:dyDescent="0.25">
      <c r="A50" s="4">
        <v>1976</v>
      </c>
      <c r="B50" s="31">
        <v>30</v>
      </c>
      <c r="C50" s="31" t="s">
        <v>23</v>
      </c>
      <c r="D50" s="10">
        <v>6</v>
      </c>
      <c r="E50" s="7">
        <v>25.75</v>
      </c>
      <c r="F50" s="11">
        <v>5.8599999999999999E-2</v>
      </c>
      <c r="G50" s="8">
        <v>0.497</v>
      </c>
      <c r="H50" s="8">
        <v>8.49</v>
      </c>
      <c r="I50" s="8">
        <v>18.7</v>
      </c>
      <c r="J50" s="32">
        <v>5.5</v>
      </c>
      <c r="K50" s="8">
        <v>22.7</v>
      </c>
    </row>
    <row r="51" spans="1:11" ht="15.75" x14ac:dyDescent="0.25">
      <c r="A51" s="4">
        <v>1976</v>
      </c>
      <c r="B51" s="31">
        <v>30</v>
      </c>
      <c r="C51" s="31" t="s">
        <v>23</v>
      </c>
      <c r="D51" s="10">
        <v>7</v>
      </c>
      <c r="E51" s="7">
        <v>30.26</v>
      </c>
      <c r="F51" s="11">
        <v>6.0400000000000002E-2</v>
      </c>
      <c r="G51" s="8">
        <v>0.496</v>
      </c>
      <c r="H51" s="8">
        <v>8.2100000000000009</v>
      </c>
      <c r="I51" s="8">
        <v>22.6</v>
      </c>
      <c r="J51" s="32">
        <v>5.9</v>
      </c>
      <c r="K51" s="8">
        <v>20.7</v>
      </c>
    </row>
    <row r="52" spans="1:11" ht="15.75" x14ac:dyDescent="0.25">
      <c r="A52" s="4">
        <v>1976</v>
      </c>
      <c r="B52" s="31">
        <v>30</v>
      </c>
      <c r="C52" s="31" t="s">
        <v>23</v>
      </c>
      <c r="D52" s="10">
        <v>8</v>
      </c>
      <c r="E52" s="7">
        <v>32.72</v>
      </c>
      <c r="F52" s="11">
        <v>6.1899999999999997E-2</v>
      </c>
      <c r="G52" s="8">
        <v>0.57899999999999996</v>
      </c>
      <c r="H52" s="8">
        <v>9.36</v>
      </c>
      <c r="I52" s="8">
        <v>24.2</v>
      </c>
      <c r="J52" s="32">
        <v>7.2</v>
      </c>
      <c r="K52" s="8">
        <v>23</v>
      </c>
    </row>
    <row r="53" spans="1:11" ht="15.75" x14ac:dyDescent="0.25">
      <c r="A53" s="4">
        <v>1976</v>
      </c>
      <c r="B53" s="31">
        <v>30</v>
      </c>
      <c r="C53" s="31" t="s">
        <v>23</v>
      </c>
      <c r="D53" s="10">
        <v>9</v>
      </c>
      <c r="E53" s="7">
        <v>32.65</v>
      </c>
      <c r="F53" s="11">
        <v>6.0400000000000002E-2</v>
      </c>
      <c r="G53" s="8">
        <v>0.60399999999999998</v>
      </c>
      <c r="H53" s="8">
        <v>10</v>
      </c>
      <c r="I53" s="8">
        <v>23.7</v>
      </c>
      <c r="J53" s="32">
        <v>6.9</v>
      </c>
      <c r="K53" s="8">
        <v>22.5</v>
      </c>
    </row>
    <row r="54" spans="1:11" ht="15.75" x14ac:dyDescent="0.25">
      <c r="A54" s="4">
        <v>1976</v>
      </c>
      <c r="B54" s="31">
        <v>30</v>
      </c>
      <c r="C54" s="31" t="s">
        <v>23</v>
      </c>
      <c r="D54" s="10">
        <v>10</v>
      </c>
      <c r="E54" s="7">
        <v>30.84</v>
      </c>
      <c r="F54" s="11">
        <v>5.8799999999999998E-2</v>
      </c>
      <c r="G54" s="8">
        <v>0.55400000000000005</v>
      </c>
      <c r="H54" s="8">
        <v>9.42</v>
      </c>
      <c r="I54" s="8">
        <v>22.4</v>
      </c>
      <c r="J54" s="32">
        <v>6.8</v>
      </c>
      <c r="K54" s="8">
        <v>23.3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Q56"/>
  <sheetViews>
    <sheetView workbookViewId="0">
      <selection activeCell="E1" sqref="E1"/>
    </sheetView>
  </sheetViews>
  <sheetFormatPr defaultColWidth="8.85546875" defaultRowHeight="15" x14ac:dyDescent="0.25"/>
  <cols>
    <col min="1" max="1" width="5.85546875" style="4" bestFit="1" customWidth="1"/>
    <col min="2" max="2" width="7.42578125" style="4" bestFit="1" customWidth="1"/>
    <col min="3" max="3" width="3.85546875" style="4" bestFit="1" customWidth="1"/>
    <col min="4" max="4" width="9" style="4" bestFit="1" customWidth="1"/>
    <col min="5" max="5" width="25" style="4" bestFit="1" customWidth="1"/>
    <col min="6" max="6" width="20.42578125" style="4" bestFit="1" customWidth="1"/>
    <col min="7" max="7" width="20.140625" style="4" bestFit="1" customWidth="1"/>
    <col min="8" max="9" width="24.42578125" style="4" bestFit="1" customWidth="1"/>
    <col min="10" max="10" width="23.42578125" style="4" bestFit="1" customWidth="1"/>
    <col min="11" max="11" width="22" style="4" bestFit="1" customWidth="1"/>
    <col min="12" max="12" width="24.85546875" style="4" bestFit="1" customWidth="1"/>
    <col min="13" max="13" width="38.42578125" style="4" bestFit="1" customWidth="1"/>
    <col min="14" max="14" width="24.85546875" style="4" bestFit="1" customWidth="1"/>
    <col min="15" max="15" width="17.42578125" style="4" bestFit="1" customWidth="1"/>
    <col min="16" max="16" width="20.140625" style="4" bestFit="1" customWidth="1"/>
    <col min="17" max="17" width="17" style="4" bestFit="1" customWidth="1"/>
    <col min="18" max="21" width="8.85546875" style="4"/>
    <col min="22" max="22" width="7.42578125" style="4" customWidth="1"/>
    <col min="23" max="23" width="9" style="4" customWidth="1"/>
    <col min="24" max="24" width="11.5703125" style="4" customWidth="1"/>
    <col min="25" max="25" width="10.85546875" style="4" customWidth="1"/>
    <col min="26" max="52" width="46.42578125" style="4" customWidth="1"/>
    <col min="53" max="53" width="34.42578125" style="4" customWidth="1"/>
    <col min="54" max="54" width="30" style="4" customWidth="1"/>
    <col min="55" max="55" width="29.5703125" style="4" customWidth="1"/>
    <col min="56" max="57" width="33.85546875" style="4" customWidth="1"/>
    <col min="58" max="58" width="32.85546875" style="4" customWidth="1"/>
    <col min="59" max="59" width="31.42578125" style="4" customWidth="1"/>
    <col min="60" max="60" width="34.140625" style="4" customWidth="1"/>
    <col min="61" max="61" width="47.5703125" style="4" customWidth="1"/>
    <col min="62" max="62" width="34.140625" style="4" customWidth="1"/>
    <col min="63" max="63" width="26.85546875" style="4" customWidth="1"/>
    <col min="64" max="64" width="29.42578125" style="4" customWidth="1"/>
    <col min="65" max="65" width="26.42578125" style="4" customWidth="1"/>
    <col min="66" max="104" width="46.42578125" style="4" customWidth="1"/>
    <col min="105" max="105" width="35.42578125" style="4" customWidth="1"/>
    <col min="106" max="106" width="30.85546875" style="4" customWidth="1"/>
    <col min="107" max="107" width="30.42578125" style="4" customWidth="1"/>
    <col min="108" max="109" width="34.5703125" style="4" customWidth="1"/>
    <col min="110" max="110" width="33.85546875" style="4" customWidth="1"/>
    <col min="111" max="111" width="32.140625" style="4" customWidth="1"/>
    <col min="112" max="112" width="35.140625" style="4" customWidth="1"/>
    <col min="113" max="113" width="48.42578125" style="4" customWidth="1"/>
    <col min="114" max="114" width="35.140625" style="4" customWidth="1"/>
    <col min="115" max="115" width="27.85546875" style="4" customWidth="1"/>
    <col min="116" max="116" width="30.42578125" style="4" customWidth="1"/>
    <col min="117" max="117" width="27.42578125" style="4" customWidth="1"/>
    <col min="118" max="121" width="46.42578125" style="4" bestFit="1" customWidth="1"/>
    <col min="122" max="124" width="46.42578125" style="4" customWidth="1"/>
    <col min="125" max="127" width="46.42578125" style="4" bestFit="1" customWidth="1"/>
    <col min="128" max="128" width="46.42578125" style="4" customWidth="1"/>
    <col min="129" max="129" width="46.42578125" style="4" bestFit="1" customWidth="1"/>
    <col min="130" max="130" width="46.42578125" style="4" customWidth="1"/>
    <col min="131" max="131" width="39.5703125" style="4" bestFit="1" customWidth="1"/>
    <col min="132" max="132" width="35.140625" style="4" customWidth="1"/>
    <col min="133" max="133" width="34.85546875" style="4" customWidth="1"/>
    <col min="134" max="135" width="39" style="4" bestFit="1" customWidth="1"/>
    <col min="136" max="136" width="38.140625" style="4" bestFit="1" customWidth="1"/>
    <col min="137" max="137" width="36.42578125" style="4" customWidth="1"/>
    <col min="138" max="138" width="39.42578125" style="4" bestFit="1" customWidth="1"/>
    <col min="139" max="139" width="52.85546875" style="4" bestFit="1" customWidth="1"/>
    <col min="140" max="140" width="39.42578125" style="4" bestFit="1" customWidth="1"/>
    <col min="141" max="141" width="32.140625" style="4" customWidth="1"/>
    <col min="142" max="142" width="34.85546875" style="4" customWidth="1"/>
    <col min="143" max="143" width="31.5703125" style="4" customWidth="1"/>
    <col min="144" max="144" width="37.85546875" style="4" bestFit="1" customWidth="1"/>
    <col min="145" max="145" width="33.42578125" style="4" bestFit="1" customWidth="1"/>
    <col min="146" max="146" width="33" style="4" bestFit="1" customWidth="1"/>
    <col min="147" max="148" width="37.140625" style="4" bestFit="1" customWidth="1"/>
    <col min="149" max="149" width="36.140625" style="4" bestFit="1" customWidth="1"/>
    <col min="150" max="150" width="34.85546875" style="4" bestFit="1" customWidth="1"/>
    <col min="151" max="151" width="37.42578125" style="4" bestFit="1" customWidth="1"/>
    <col min="152" max="152" width="51.140625" style="4" bestFit="1" customWidth="1"/>
    <col min="153" max="153" width="37.42578125" style="4" bestFit="1" customWidth="1"/>
    <col min="154" max="154" width="30.42578125" style="4" bestFit="1" customWidth="1"/>
    <col min="155" max="155" width="32.85546875" style="4" bestFit="1" customWidth="1"/>
    <col min="156" max="156" width="29.85546875" style="4" bestFit="1" customWidth="1"/>
    <col min="157" max="16384" width="8.85546875" style="4"/>
  </cols>
  <sheetData>
    <row r="1" spans="1:17" x14ac:dyDescent="0.25">
      <c r="A1" s="1" t="s">
        <v>17</v>
      </c>
      <c r="B1" s="1" t="s">
        <v>48</v>
      </c>
      <c r="C1" s="1" t="s">
        <v>18</v>
      </c>
      <c r="D1" s="1" t="s">
        <v>25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x14ac:dyDescent="0.25">
      <c r="A2" s="4">
        <v>1976</v>
      </c>
      <c r="B2" s="4">
        <v>8</v>
      </c>
      <c r="C2" s="4" t="s">
        <v>22</v>
      </c>
      <c r="D2" s="4">
        <v>1</v>
      </c>
      <c r="E2" s="5">
        <v>27.6</v>
      </c>
      <c r="F2" s="5">
        <v>45</v>
      </c>
      <c r="G2" s="5">
        <v>39.799999999999997</v>
      </c>
      <c r="H2" s="5">
        <v>25.1</v>
      </c>
      <c r="I2" s="5">
        <v>12.8</v>
      </c>
      <c r="J2" s="15">
        <v>5.3900000000000003E-2</v>
      </c>
      <c r="K2" s="12">
        <v>0.94199999999999995</v>
      </c>
      <c r="L2" s="6">
        <v>1.61</v>
      </c>
      <c r="M2" s="12">
        <v>6.2100000000000002E-2</v>
      </c>
      <c r="N2" s="12">
        <v>0.20300000000000001</v>
      </c>
      <c r="O2" s="12">
        <v>0.875</v>
      </c>
      <c r="P2" s="5">
        <v>11.8</v>
      </c>
      <c r="Q2" s="6">
        <v>1.39</v>
      </c>
    </row>
    <row r="3" spans="1:17" x14ac:dyDescent="0.25">
      <c r="A3" s="4">
        <v>1976</v>
      </c>
      <c r="B3" s="4">
        <v>8</v>
      </c>
      <c r="C3" s="4" t="s">
        <v>22</v>
      </c>
      <c r="D3" s="4">
        <v>2</v>
      </c>
      <c r="E3" s="5">
        <v>28</v>
      </c>
      <c r="F3" s="5">
        <v>45.3</v>
      </c>
      <c r="G3" s="5">
        <v>38.1</v>
      </c>
      <c r="H3" s="5">
        <v>24.8</v>
      </c>
      <c r="I3" s="5">
        <v>11.4</v>
      </c>
      <c r="J3" s="15">
        <v>5.8299999999999998E-2</v>
      </c>
      <c r="K3" s="12">
        <v>1.03</v>
      </c>
      <c r="L3" s="6">
        <v>1.52</v>
      </c>
      <c r="M3" s="12">
        <v>6.9699999999999998E-2</v>
      </c>
      <c r="N3" s="12">
        <v>0.191</v>
      </c>
      <c r="O3" s="12">
        <v>0.77100000000000002</v>
      </c>
      <c r="P3" s="5">
        <v>11.6</v>
      </c>
      <c r="Q3" s="6">
        <v>1.52</v>
      </c>
    </row>
    <row r="4" spans="1:17" x14ac:dyDescent="0.25">
      <c r="A4" s="4">
        <v>1976</v>
      </c>
      <c r="B4" s="4">
        <v>8</v>
      </c>
      <c r="C4" s="4" t="s">
        <v>22</v>
      </c>
      <c r="D4" s="4">
        <v>3</v>
      </c>
      <c r="E4" s="5">
        <v>28.5</v>
      </c>
      <c r="F4" s="5">
        <v>45.6</v>
      </c>
      <c r="G4" s="5">
        <v>36.700000000000003</v>
      </c>
      <c r="H4" s="5">
        <v>23.9</v>
      </c>
      <c r="I4" s="5">
        <v>11.1</v>
      </c>
      <c r="J4" s="15">
        <v>6.6900000000000001E-2</v>
      </c>
      <c r="K4" s="12">
        <v>0.96699999999999997</v>
      </c>
      <c r="L4" s="6">
        <v>1.83</v>
      </c>
      <c r="M4" s="12">
        <v>8.4699999999999998E-2</v>
      </c>
      <c r="N4" s="12">
        <v>0.251</v>
      </c>
      <c r="O4" s="12">
        <v>0.55600000000000005</v>
      </c>
      <c r="P4" s="5">
        <v>12.9</v>
      </c>
      <c r="Q4" s="6">
        <v>1.55</v>
      </c>
    </row>
    <row r="5" spans="1:17" x14ac:dyDescent="0.25">
      <c r="A5" s="4">
        <v>1976</v>
      </c>
      <c r="B5" s="4">
        <v>8</v>
      </c>
      <c r="C5" s="4" t="s">
        <v>22</v>
      </c>
      <c r="D5" s="4">
        <v>4</v>
      </c>
      <c r="E5" s="5">
        <v>24.2</v>
      </c>
      <c r="F5" s="5">
        <v>39.9</v>
      </c>
      <c r="G5" s="5">
        <v>48.3</v>
      </c>
      <c r="H5" s="5">
        <v>30.9</v>
      </c>
      <c r="I5" s="5">
        <v>15.4</v>
      </c>
      <c r="J5" s="15">
        <v>6.9900000000000004E-2</v>
      </c>
      <c r="K5" s="12">
        <v>0.91700000000000004</v>
      </c>
      <c r="L5" s="6">
        <v>1.29</v>
      </c>
      <c r="M5" s="12">
        <v>0.10100000000000001</v>
      </c>
      <c r="N5" s="12">
        <v>0.16700000000000001</v>
      </c>
      <c r="O5" s="12">
        <v>0.80800000000000005</v>
      </c>
      <c r="P5" s="5">
        <v>10.1</v>
      </c>
      <c r="Q5" s="6">
        <v>1.1599999999999999</v>
      </c>
    </row>
    <row r="6" spans="1:17" x14ac:dyDescent="0.25">
      <c r="A6" s="4">
        <v>1976</v>
      </c>
      <c r="B6" s="4">
        <v>8</v>
      </c>
      <c r="C6" s="4" t="s">
        <v>22</v>
      </c>
      <c r="D6" s="4">
        <v>5</v>
      </c>
      <c r="E6" s="5">
        <v>27.2</v>
      </c>
      <c r="F6" s="5">
        <v>43.4</v>
      </c>
      <c r="G6" s="5">
        <v>43.6</v>
      </c>
      <c r="H6" s="5">
        <v>27.5</v>
      </c>
      <c r="I6" s="5">
        <v>14.3</v>
      </c>
      <c r="J6" s="15">
        <v>0.10100000000000001</v>
      </c>
      <c r="K6" s="12">
        <v>1.05</v>
      </c>
      <c r="L6" s="6">
        <v>1.37</v>
      </c>
      <c r="M6" s="12">
        <v>0.111</v>
      </c>
      <c r="N6" s="12">
        <v>0.20899999999999999</v>
      </c>
      <c r="O6" s="12">
        <v>0.92600000000000005</v>
      </c>
      <c r="P6" s="5">
        <v>10.6</v>
      </c>
      <c r="Q6" s="6">
        <v>1.33</v>
      </c>
    </row>
    <row r="7" spans="1:17" x14ac:dyDescent="0.25">
      <c r="A7" s="4">
        <v>1976</v>
      </c>
      <c r="B7" s="4">
        <v>8</v>
      </c>
      <c r="C7" s="4" t="s">
        <v>22</v>
      </c>
      <c r="D7" s="4">
        <v>6</v>
      </c>
      <c r="E7" s="5">
        <v>26.7</v>
      </c>
      <c r="F7" s="5">
        <v>45.2</v>
      </c>
      <c r="G7" s="5">
        <v>39.4</v>
      </c>
      <c r="H7" s="5">
        <v>25.6</v>
      </c>
      <c r="I7" s="5">
        <v>12.2</v>
      </c>
      <c r="J7" s="15">
        <v>6.1400000000000003E-2</v>
      </c>
      <c r="K7" s="12">
        <v>0.98199999999999998</v>
      </c>
      <c r="L7" s="6">
        <v>2.0299999999999998</v>
      </c>
      <c r="M7" s="12">
        <v>0.309</v>
      </c>
      <c r="N7" s="12">
        <v>0.216</v>
      </c>
      <c r="O7" s="12">
        <v>0.83799999999999997</v>
      </c>
      <c r="P7" s="5">
        <v>12</v>
      </c>
      <c r="Q7" s="6">
        <v>1.33</v>
      </c>
    </row>
    <row r="8" spans="1:17" x14ac:dyDescent="0.25">
      <c r="A8" s="4">
        <v>1976</v>
      </c>
      <c r="B8" s="4">
        <v>8</v>
      </c>
      <c r="C8" s="4" t="s">
        <v>22</v>
      </c>
      <c r="D8" s="4">
        <v>7</v>
      </c>
      <c r="E8" s="5">
        <v>31.8</v>
      </c>
      <c r="F8" s="5">
        <v>44.5</v>
      </c>
      <c r="G8" s="5">
        <v>41.9</v>
      </c>
      <c r="H8" s="5">
        <v>26.8</v>
      </c>
      <c r="I8" s="5">
        <v>13.2</v>
      </c>
      <c r="J8" s="15">
        <v>9.6500000000000002E-2</v>
      </c>
      <c r="K8" s="12">
        <v>0.95</v>
      </c>
      <c r="L8" s="6">
        <v>1.45</v>
      </c>
      <c r="M8" s="12">
        <v>9.1300000000000006E-2</v>
      </c>
      <c r="N8" s="12">
        <v>0.159</v>
      </c>
      <c r="O8" s="12">
        <v>0.89</v>
      </c>
      <c r="P8" s="5">
        <v>11</v>
      </c>
      <c r="Q8" s="6">
        <v>1.54</v>
      </c>
    </row>
    <row r="9" spans="1:17" x14ac:dyDescent="0.25">
      <c r="A9" s="4">
        <v>1976</v>
      </c>
      <c r="B9" s="4">
        <v>8</v>
      </c>
      <c r="C9" s="4" t="s">
        <v>22</v>
      </c>
      <c r="D9" s="4">
        <v>8</v>
      </c>
      <c r="E9" s="5">
        <v>22.1</v>
      </c>
      <c r="F9" s="5">
        <v>42.9</v>
      </c>
      <c r="G9" s="5">
        <v>32.5</v>
      </c>
      <c r="H9" s="5">
        <v>20.7</v>
      </c>
      <c r="I9" s="5">
        <v>10.1</v>
      </c>
      <c r="J9" s="15">
        <v>6.8000000000000005E-2</v>
      </c>
      <c r="K9" s="12">
        <v>1.28</v>
      </c>
      <c r="L9" s="6">
        <v>2.21</v>
      </c>
      <c r="M9" s="12">
        <v>0.16</v>
      </c>
      <c r="N9" s="12">
        <v>0.29199999999999998</v>
      </c>
      <c r="O9" s="12">
        <v>0.83399999999999996</v>
      </c>
      <c r="P9" s="5">
        <v>13.5</v>
      </c>
      <c r="Q9" s="6">
        <v>1.58</v>
      </c>
    </row>
    <row r="10" spans="1:17" x14ac:dyDescent="0.25">
      <c r="A10" s="4">
        <v>1976</v>
      </c>
      <c r="B10" s="4">
        <v>8</v>
      </c>
      <c r="C10" s="4" t="s">
        <v>22</v>
      </c>
      <c r="D10" s="4">
        <v>9</v>
      </c>
      <c r="E10" s="5">
        <v>26.9</v>
      </c>
      <c r="F10" s="5">
        <v>45.6</v>
      </c>
      <c r="G10" s="5">
        <v>39.799999999999997</v>
      </c>
      <c r="H10" s="5">
        <v>26.4</v>
      </c>
      <c r="I10" s="5">
        <v>11.6</v>
      </c>
      <c r="J10" s="15">
        <v>5.8299999999999998E-2</v>
      </c>
      <c r="K10" s="12">
        <v>0.99199999999999999</v>
      </c>
      <c r="L10" s="6">
        <v>1.61</v>
      </c>
      <c r="M10" s="12">
        <v>0.14299999999999999</v>
      </c>
      <c r="N10" s="12">
        <v>0.161</v>
      </c>
      <c r="O10" s="12">
        <v>0.80700000000000005</v>
      </c>
      <c r="P10" s="5">
        <v>11.4</v>
      </c>
      <c r="Q10" s="6">
        <v>1.41</v>
      </c>
    </row>
    <row r="11" spans="1:17" x14ac:dyDescent="0.25">
      <c r="A11" s="4">
        <v>1976</v>
      </c>
      <c r="B11" s="4">
        <v>8</v>
      </c>
      <c r="C11" s="4" t="s">
        <v>22</v>
      </c>
      <c r="D11" s="4">
        <v>10</v>
      </c>
      <c r="E11" s="5">
        <v>25.7</v>
      </c>
      <c r="F11" s="5">
        <v>44.2</v>
      </c>
      <c r="G11" s="5">
        <v>39.700000000000003</v>
      </c>
      <c r="H11" s="5">
        <v>26.1</v>
      </c>
      <c r="I11" s="5">
        <v>11.6</v>
      </c>
      <c r="J11" s="15">
        <v>6.5100000000000005E-2</v>
      </c>
      <c r="K11" s="12">
        <v>1.22</v>
      </c>
      <c r="L11" s="6">
        <v>1.44</v>
      </c>
      <c r="M11" s="12">
        <v>0.123</v>
      </c>
      <c r="N11" s="12">
        <v>0.19</v>
      </c>
      <c r="O11" s="12">
        <v>0.75600000000000001</v>
      </c>
      <c r="P11" s="5">
        <v>10.8</v>
      </c>
      <c r="Q11" s="6">
        <v>1.36</v>
      </c>
    </row>
    <row r="12" spans="1:17" x14ac:dyDescent="0.25">
      <c r="A12" s="4">
        <v>1976</v>
      </c>
      <c r="B12" s="4">
        <v>8</v>
      </c>
      <c r="C12" s="4" t="s">
        <v>23</v>
      </c>
      <c r="D12" s="4">
        <v>1</v>
      </c>
      <c r="E12" s="5">
        <v>23.4</v>
      </c>
      <c r="F12" s="5">
        <v>45.1</v>
      </c>
      <c r="G12" s="5">
        <v>42.7</v>
      </c>
      <c r="H12" s="5">
        <v>27.9</v>
      </c>
      <c r="I12" s="5">
        <v>13.3</v>
      </c>
      <c r="J12" s="15">
        <v>7.0000000000000007E-2</v>
      </c>
      <c r="K12" s="12">
        <v>0.91800000000000004</v>
      </c>
      <c r="L12" s="6">
        <v>1.55</v>
      </c>
      <c r="M12" s="12">
        <v>0.17499999999999999</v>
      </c>
      <c r="N12" s="12">
        <v>0.16300000000000001</v>
      </c>
      <c r="O12" s="12">
        <v>0.98</v>
      </c>
      <c r="P12" s="5">
        <v>12.5</v>
      </c>
      <c r="Q12" s="6">
        <v>1.34</v>
      </c>
    </row>
    <row r="13" spans="1:17" x14ac:dyDescent="0.25">
      <c r="A13" s="4">
        <v>1976</v>
      </c>
      <c r="B13" s="4">
        <v>8</v>
      </c>
      <c r="C13" s="4" t="s">
        <v>23</v>
      </c>
      <c r="D13" s="4">
        <v>2</v>
      </c>
      <c r="E13" s="5">
        <v>24.9</v>
      </c>
      <c r="F13" s="5">
        <v>46</v>
      </c>
      <c r="G13" s="5">
        <v>34.700000000000003</v>
      </c>
      <c r="H13" s="5">
        <v>23.3</v>
      </c>
      <c r="I13" s="5">
        <v>10</v>
      </c>
      <c r="J13" s="15">
        <v>8.4500000000000006E-2</v>
      </c>
      <c r="K13" s="12">
        <v>1.38</v>
      </c>
      <c r="L13" s="6">
        <v>1.88</v>
      </c>
      <c r="M13" s="12">
        <v>0.14299999999999999</v>
      </c>
      <c r="N13" s="12">
        <v>0.128</v>
      </c>
      <c r="O13" s="12">
        <v>0.91100000000000003</v>
      </c>
      <c r="P13" s="5">
        <v>12.2</v>
      </c>
      <c r="Q13" s="6">
        <v>1.39</v>
      </c>
    </row>
    <row r="14" spans="1:17" x14ac:dyDescent="0.25">
      <c r="A14" s="4">
        <v>1976</v>
      </c>
      <c r="B14" s="4">
        <v>8</v>
      </c>
      <c r="C14" s="4" t="s">
        <v>23</v>
      </c>
      <c r="D14" s="4">
        <v>3</v>
      </c>
      <c r="E14" s="5">
        <v>27.5</v>
      </c>
      <c r="F14" s="5">
        <v>47.3</v>
      </c>
      <c r="G14" s="5">
        <v>37.5</v>
      </c>
      <c r="H14" s="5">
        <v>25.1</v>
      </c>
      <c r="I14" s="5">
        <v>11.1</v>
      </c>
      <c r="J14" s="15">
        <v>6.4600000000000005E-2</v>
      </c>
      <c r="K14" s="12">
        <v>1.19</v>
      </c>
      <c r="L14" s="6">
        <v>1.98</v>
      </c>
      <c r="M14" s="12">
        <v>0.155</v>
      </c>
      <c r="N14" s="12">
        <v>0.15</v>
      </c>
      <c r="O14" s="12">
        <v>0.82799999999999996</v>
      </c>
      <c r="P14" s="5">
        <v>12.8</v>
      </c>
      <c r="Q14" s="6">
        <v>1.51</v>
      </c>
    </row>
    <row r="15" spans="1:17" x14ac:dyDescent="0.25">
      <c r="A15" s="4">
        <v>1976</v>
      </c>
      <c r="B15" s="4">
        <v>8</v>
      </c>
      <c r="C15" s="4" t="s">
        <v>23</v>
      </c>
      <c r="D15" s="4">
        <v>4</v>
      </c>
      <c r="E15" s="5">
        <v>24.8</v>
      </c>
      <c r="F15" s="5">
        <v>47.5</v>
      </c>
      <c r="G15" s="5">
        <v>37.299999999999997</v>
      </c>
      <c r="H15" s="5">
        <v>24.8</v>
      </c>
      <c r="I15" s="5">
        <v>10.9</v>
      </c>
      <c r="J15" s="15">
        <v>8.5099999999999995E-2</v>
      </c>
      <c r="K15" s="12">
        <v>1.2</v>
      </c>
      <c r="L15" s="6">
        <v>1.53</v>
      </c>
      <c r="M15" s="12">
        <v>0.17299999999999999</v>
      </c>
      <c r="N15" s="12">
        <v>0.11600000000000001</v>
      </c>
      <c r="O15" s="12">
        <v>0.97399999999999998</v>
      </c>
      <c r="P15" s="5">
        <v>13</v>
      </c>
      <c r="Q15" s="6">
        <v>1.37</v>
      </c>
    </row>
    <row r="16" spans="1:17" x14ac:dyDescent="0.25">
      <c r="A16" s="4">
        <v>1976</v>
      </c>
      <c r="B16" s="4">
        <v>8</v>
      </c>
      <c r="C16" s="4" t="s">
        <v>23</v>
      </c>
      <c r="D16" s="4">
        <v>5</v>
      </c>
      <c r="E16" s="5">
        <v>24.2</v>
      </c>
      <c r="F16" s="5">
        <v>44.4</v>
      </c>
      <c r="G16" s="5">
        <v>43.1</v>
      </c>
      <c r="H16" s="5">
        <v>28.3</v>
      </c>
      <c r="I16" s="5">
        <v>13.4</v>
      </c>
      <c r="J16" s="15">
        <v>0.107</v>
      </c>
      <c r="K16" s="12">
        <v>0.92800000000000005</v>
      </c>
      <c r="L16" s="6">
        <v>1.39</v>
      </c>
      <c r="M16" s="12">
        <v>0.24299999999999999</v>
      </c>
      <c r="N16" s="12">
        <v>0.158</v>
      </c>
      <c r="O16" s="12">
        <v>1.06</v>
      </c>
      <c r="P16" s="5">
        <v>12.5</v>
      </c>
      <c r="Q16" s="6">
        <v>1.45</v>
      </c>
    </row>
    <row r="17" spans="1:17" x14ac:dyDescent="0.25">
      <c r="A17" s="4">
        <v>1976</v>
      </c>
      <c r="B17" s="4">
        <v>8</v>
      </c>
      <c r="C17" s="4" t="s">
        <v>23</v>
      </c>
      <c r="D17" s="4">
        <v>6</v>
      </c>
      <c r="E17" s="5">
        <v>25.5</v>
      </c>
      <c r="F17" s="5">
        <v>47.5</v>
      </c>
      <c r="G17" s="5">
        <v>37.5</v>
      </c>
      <c r="H17" s="5">
        <v>25.9</v>
      </c>
      <c r="I17" s="5">
        <v>10.1</v>
      </c>
      <c r="J17" s="15">
        <v>7.0999999999999994E-2</v>
      </c>
      <c r="K17" s="12">
        <v>1.1599999999999999</v>
      </c>
      <c r="L17" s="6">
        <v>1.54</v>
      </c>
      <c r="M17" s="12">
        <v>0.14699999999999999</v>
      </c>
      <c r="N17" s="12">
        <v>0.14499999999999999</v>
      </c>
      <c r="O17" s="12">
        <v>0.94899999999999995</v>
      </c>
      <c r="P17" s="5">
        <v>12.4</v>
      </c>
      <c r="Q17" s="6">
        <v>1.58</v>
      </c>
    </row>
    <row r="18" spans="1:17" x14ac:dyDescent="0.25">
      <c r="A18" s="4">
        <v>1976</v>
      </c>
      <c r="B18" s="4">
        <v>8</v>
      </c>
      <c r="C18" s="4" t="s">
        <v>23</v>
      </c>
      <c r="D18" s="4">
        <v>7</v>
      </c>
      <c r="E18" s="5">
        <v>28.1</v>
      </c>
      <c r="F18" s="5">
        <v>46.4</v>
      </c>
      <c r="G18" s="5">
        <v>39</v>
      </c>
      <c r="H18" s="5">
        <v>26</v>
      </c>
      <c r="I18" s="5">
        <v>11.3</v>
      </c>
      <c r="J18" s="15">
        <v>7.0400000000000004E-2</v>
      </c>
      <c r="K18" s="12">
        <v>1.2</v>
      </c>
      <c r="L18" s="6">
        <v>1.45</v>
      </c>
      <c r="M18" s="12">
        <v>0.16</v>
      </c>
      <c r="N18" s="12">
        <v>0.17499999999999999</v>
      </c>
      <c r="O18" s="12">
        <v>0.94099999999999995</v>
      </c>
      <c r="P18" s="5">
        <v>12.5</v>
      </c>
      <c r="Q18" s="6">
        <v>1.39</v>
      </c>
    </row>
    <row r="19" spans="1:17" x14ac:dyDescent="0.25">
      <c r="A19" s="4">
        <v>1976</v>
      </c>
      <c r="B19" s="4">
        <v>8</v>
      </c>
      <c r="C19" s="4" t="s">
        <v>23</v>
      </c>
      <c r="D19" s="4">
        <v>8</v>
      </c>
      <c r="E19" s="5">
        <v>23.6</v>
      </c>
      <c r="F19" s="5">
        <v>46.7</v>
      </c>
      <c r="G19" s="5">
        <v>39.6</v>
      </c>
      <c r="H19" s="5">
        <v>26.6</v>
      </c>
      <c r="I19" s="5">
        <v>11.6</v>
      </c>
      <c r="J19" s="15">
        <v>0.105</v>
      </c>
      <c r="K19" s="12">
        <v>1.25</v>
      </c>
      <c r="L19" s="6">
        <v>1.4</v>
      </c>
      <c r="M19" s="12">
        <v>0.29399999999999998</v>
      </c>
      <c r="N19" s="12">
        <v>0.13200000000000001</v>
      </c>
      <c r="O19" s="12">
        <v>0.95099999999999996</v>
      </c>
      <c r="P19" s="5">
        <v>13.3</v>
      </c>
      <c r="Q19" s="6">
        <v>1.3</v>
      </c>
    </row>
    <row r="20" spans="1:17" x14ac:dyDescent="0.25">
      <c r="A20" s="4">
        <v>1976</v>
      </c>
      <c r="B20" s="4">
        <v>8</v>
      </c>
      <c r="C20" s="4" t="s">
        <v>23</v>
      </c>
      <c r="D20" s="4">
        <v>9</v>
      </c>
      <c r="E20" s="5">
        <v>21.4</v>
      </c>
      <c r="F20" s="5">
        <v>45</v>
      </c>
      <c r="G20" s="5">
        <v>39.799999999999997</v>
      </c>
      <c r="H20" s="5">
        <v>27.3</v>
      </c>
      <c r="I20" s="5">
        <v>11</v>
      </c>
      <c r="J20" s="15">
        <v>0.104</v>
      </c>
      <c r="K20" s="12">
        <v>1.5</v>
      </c>
      <c r="L20" s="6">
        <v>1.78</v>
      </c>
      <c r="M20" s="12">
        <v>0.26300000000000001</v>
      </c>
      <c r="N20" s="12">
        <v>0.16400000000000001</v>
      </c>
      <c r="O20" s="12">
        <v>0.9</v>
      </c>
      <c r="P20" s="5">
        <v>11.9</v>
      </c>
      <c r="Q20" s="6">
        <v>1.65</v>
      </c>
    </row>
    <row r="21" spans="1:17" x14ac:dyDescent="0.25">
      <c r="A21" s="4">
        <v>1976</v>
      </c>
      <c r="B21" s="4">
        <v>8</v>
      </c>
      <c r="C21" s="4" t="s">
        <v>23</v>
      </c>
      <c r="D21" s="4">
        <v>10</v>
      </c>
      <c r="E21" s="5">
        <v>24</v>
      </c>
      <c r="F21" s="5">
        <v>46.5</v>
      </c>
      <c r="G21" s="5">
        <v>40.4</v>
      </c>
      <c r="H21" s="5">
        <v>26.8</v>
      </c>
      <c r="I21" s="5">
        <v>12.1</v>
      </c>
      <c r="J21" s="15">
        <v>7.1800000000000003E-2</v>
      </c>
      <c r="K21" s="12">
        <v>1.1499999999999999</v>
      </c>
      <c r="L21" s="6">
        <v>1.63</v>
      </c>
      <c r="M21" s="12">
        <v>0.152</v>
      </c>
      <c r="N21" s="12">
        <v>0.151</v>
      </c>
      <c r="O21" s="12">
        <v>0.88500000000000001</v>
      </c>
      <c r="P21" s="5">
        <v>13.2</v>
      </c>
      <c r="Q21" s="6">
        <v>1.49</v>
      </c>
    </row>
    <row r="22" spans="1:17" x14ac:dyDescent="0.25">
      <c r="A22" s="4">
        <v>1976</v>
      </c>
      <c r="B22" s="4">
        <v>16</v>
      </c>
      <c r="C22" s="4" t="s">
        <v>22</v>
      </c>
      <c r="D22" s="4">
        <v>1</v>
      </c>
      <c r="E22" s="5">
        <v>21.9</v>
      </c>
      <c r="F22" s="5">
        <v>43.6</v>
      </c>
      <c r="G22" s="5">
        <v>43</v>
      </c>
      <c r="H22" s="5">
        <v>28.4</v>
      </c>
      <c r="I22" s="5">
        <v>13.1</v>
      </c>
      <c r="J22" s="15">
        <v>0.18</v>
      </c>
      <c r="K22" s="12">
        <v>1.1299999999999999</v>
      </c>
      <c r="L22" s="6">
        <v>1.63</v>
      </c>
      <c r="M22" s="12">
        <v>0.63</v>
      </c>
      <c r="N22" s="12">
        <v>0.246</v>
      </c>
      <c r="O22" s="12">
        <v>0.56799999999999995</v>
      </c>
      <c r="P22" s="5">
        <v>9.4</v>
      </c>
      <c r="Q22" s="6">
        <v>1.04</v>
      </c>
    </row>
    <row r="23" spans="1:17" x14ac:dyDescent="0.25">
      <c r="A23" s="4">
        <v>1976</v>
      </c>
      <c r="B23" s="4">
        <v>16</v>
      </c>
      <c r="C23" s="4" t="s">
        <v>22</v>
      </c>
      <c r="D23" s="4">
        <v>2</v>
      </c>
      <c r="E23" s="5">
        <v>26.3</v>
      </c>
      <c r="F23" s="5">
        <v>44.1</v>
      </c>
      <c r="G23" s="5">
        <v>41.1</v>
      </c>
      <c r="H23" s="5">
        <v>27</v>
      </c>
      <c r="I23" s="5">
        <v>12.5</v>
      </c>
      <c r="J23" s="15">
        <v>0.187</v>
      </c>
      <c r="K23" s="12">
        <v>0.90600000000000003</v>
      </c>
      <c r="L23" s="6">
        <v>1.37</v>
      </c>
      <c r="M23" s="12">
        <v>0.63200000000000001</v>
      </c>
      <c r="N23" s="12">
        <v>0.17799999999999999</v>
      </c>
      <c r="O23" s="12">
        <v>0.51500000000000001</v>
      </c>
      <c r="P23" s="5">
        <v>10.6</v>
      </c>
      <c r="Q23" s="6">
        <v>1.08</v>
      </c>
    </row>
    <row r="24" spans="1:17" x14ac:dyDescent="0.25">
      <c r="A24" s="4">
        <v>1976</v>
      </c>
      <c r="B24" s="4">
        <v>16</v>
      </c>
      <c r="C24" s="4" t="s">
        <v>22</v>
      </c>
      <c r="D24" s="4">
        <v>3</v>
      </c>
      <c r="E24" s="5">
        <v>26.8</v>
      </c>
      <c r="F24" s="5">
        <v>45.4</v>
      </c>
      <c r="G24" s="5">
        <v>40.799999999999997</v>
      </c>
      <c r="H24" s="5">
        <v>25.7</v>
      </c>
      <c r="I24" s="5">
        <v>13.4</v>
      </c>
      <c r="J24" s="15">
        <v>0.19900000000000001</v>
      </c>
      <c r="K24" s="12">
        <v>1.1000000000000001</v>
      </c>
      <c r="L24" s="6">
        <v>1.38</v>
      </c>
      <c r="M24" s="12">
        <v>0.66900000000000004</v>
      </c>
      <c r="N24" s="12">
        <v>0.18099999999999999</v>
      </c>
      <c r="O24" s="12">
        <v>0.61599999999999999</v>
      </c>
      <c r="P24" s="5">
        <v>11.6</v>
      </c>
      <c r="Q24" s="6">
        <v>1.17</v>
      </c>
    </row>
    <row r="25" spans="1:17" x14ac:dyDescent="0.25">
      <c r="A25" s="4">
        <v>1976</v>
      </c>
      <c r="B25" s="4">
        <v>16</v>
      </c>
      <c r="C25" s="4" t="s">
        <v>22</v>
      </c>
      <c r="D25" s="4">
        <v>4</v>
      </c>
      <c r="E25" s="5">
        <v>26.1</v>
      </c>
      <c r="F25" s="5">
        <v>48</v>
      </c>
      <c r="G25" s="5">
        <v>39.799999999999997</v>
      </c>
      <c r="H25" s="5">
        <v>25.8</v>
      </c>
      <c r="I25" s="5">
        <v>12.4</v>
      </c>
      <c r="J25" s="15">
        <v>0.26600000000000001</v>
      </c>
      <c r="K25" s="12">
        <v>1.1000000000000001</v>
      </c>
      <c r="L25" s="6">
        <v>1.59</v>
      </c>
      <c r="M25" s="12">
        <v>1</v>
      </c>
      <c r="N25" s="12">
        <v>0.26700000000000002</v>
      </c>
      <c r="O25" s="12">
        <v>0.65800000000000003</v>
      </c>
      <c r="P25" s="5">
        <v>11.3</v>
      </c>
      <c r="Q25" s="6">
        <v>1.31</v>
      </c>
    </row>
    <row r="26" spans="1:17" x14ac:dyDescent="0.25">
      <c r="A26" s="4">
        <v>1976</v>
      </c>
      <c r="B26" s="4">
        <v>16</v>
      </c>
      <c r="C26" s="4" t="s">
        <v>22</v>
      </c>
      <c r="D26" s="4">
        <v>5</v>
      </c>
      <c r="E26" s="5">
        <v>26.7</v>
      </c>
      <c r="F26" s="5">
        <v>47.6</v>
      </c>
      <c r="G26" s="5">
        <v>38.200000000000003</v>
      </c>
      <c r="H26" s="5">
        <v>24.2</v>
      </c>
      <c r="I26" s="5">
        <v>12.5</v>
      </c>
      <c r="J26" s="15">
        <v>0.216</v>
      </c>
      <c r="K26" s="12">
        <v>1.07</v>
      </c>
      <c r="L26" s="6">
        <v>1.55</v>
      </c>
      <c r="M26" s="12">
        <v>1.45</v>
      </c>
      <c r="N26" s="12">
        <v>0.14199999999999999</v>
      </c>
      <c r="O26" s="12">
        <v>0.61199999999999999</v>
      </c>
      <c r="P26" s="5">
        <v>12.3</v>
      </c>
      <c r="Q26" s="6">
        <v>1.17</v>
      </c>
    </row>
    <row r="27" spans="1:17" x14ac:dyDescent="0.25">
      <c r="A27" s="4">
        <v>1976</v>
      </c>
      <c r="B27" s="4">
        <v>16</v>
      </c>
      <c r="C27" s="4" t="s">
        <v>22</v>
      </c>
      <c r="D27" s="4">
        <v>6</v>
      </c>
      <c r="E27" s="5">
        <v>26</v>
      </c>
      <c r="F27" s="5">
        <v>47.2</v>
      </c>
      <c r="G27" s="5">
        <v>39.799999999999997</v>
      </c>
      <c r="H27" s="5">
        <v>25.4</v>
      </c>
      <c r="I27" s="5">
        <v>12.8</v>
      </c>
      <c r="J27" s="15">
        <v>0.21</v>
      </c>
      <c r="K27" s="12">
        <v>1.03</v>
      </c>
      <c r="L27" s="6">
        <v>1.43</v>
      </c>
      <c r="M27" s="12">
        <v>0.44700000000000001</v>
      </c>
      <c r="N27" s="12">
        <v>0.17399999999999999</v>
      </c>
      <c r="O27" s="12">
        <v>0.63700000000000001</v>
      </c>
      <c r="P27" s="5">
        <v>11</v>
      </c>
      <c r="Q27" s="6">
        <v>1.27</v>
      </c>
    </row>
    <row r="28" spans="1:17" x14ac:dyDescent="0.25">
      <c r="A28" s="4">
        <v>1976</v>
      </c>
      <c r="B28" s="4">
        <v>16</v>
      </c>
      <c r="C28" s="4" t="s">
        <v>22</v>
      </c>
      <c r="D28" s="4">
        <v>7</v>
      </c>
      <c r="E28" s="5">
        <v>28.1</v>
      </c>
      <c r="F28" s="5">
        <v>44</v>
      </c>
      <c r="G28" s="5">
        <v>37.1</v>
      </c>
      <c r="H28" s="5">
        <v>23.3</v>
      </c>
      <c r="I28" s="5">
        <v>12.5</v>
      </c>
      <c r="J28" s="15">
        <v>0.247</v>
      </c>
      <c r="K28" s="12">
        <v>1.19</v>
      </c>
      <c r="L28" s="6">
        <v>1.19</v>
      </c>
      <c r="M28" s="12">
        <v>0.44</v>
      </c>
      <c r="N28" s="12">
        <v>0.16</v>
      </c>
      <c r="O28" s="12">
        <v>0.66800000000000004</v>
      </c>
      <c r="P28" s="5">
        <v>11.8</v>
      </c>
      <c r="Q28" s="6">
        <v>1.21</v>
      </c>
    </row>
    <row r="29" spans="1:17" x14ac:dyDescent="0.25">
      <c r="A29" s="4">
        <v>1976</v>
      </c>
      <c r="B29" s="4">
        <v>16</v>
      </c>
      <c r="C29" s="4" t="s">
        <v>22</v>
      </c>
      <c r="D29" s="4">
        <v>8</v>
      </c>
      <c r="E29" s="5">
        <v>27.6</v>
      </c>
      <c r="F29" s="5">
        <v>47.4</v>
      </c>
      <c r="G29" s="5">
        <v>33.1</v>
      </c>
      <c r="H29" s="5">
        <v>21.4</v>
      </c>
      <c r="I29" s="5">
        <v>10.199999999999999</v>
      </c>
      <c r="J29" s="15">
        <v>0.19400000000000001</v>
      </c>
      <c r="K29" s="12">
        <v>1.1100000000000001</v>
      </c>
      <c r="L29" s="6">
        <v>1.92</v>
      </c>
      <c r="M29" s="12">
        <v>1.62</v>
      </c>
      <c r="N29" s="12">
        <v>0.19900000000000001</v>
      </c>
      <c r="O29" s="12">
        <v>0.66100000000000003</v>
      </c>
      <c r="P29" s="5">
        <v>12.5</v>
      </c>
      <c r="Q29" s="6">
        <v>1.45</v>
      </c>
    </row>
    <row r="30" spans="1:17" x14ac:dyDescent="0.25">
      <c r="A30" s="4">
        <v>1976</v>
      </c>
      <c r="B30" s="4">
        <v>16</v>
      </c>
      <c r="C30" s="4" t="s">
        <v>22</v>
      </c>
      <c r="D30" s="4">
        <v>9</v>
      </c>
      <c r="E30" s="5">
        <v>26.1</v>
      </c>
      <c r="F30" s="5">
        <v>43.6</v>
      </c>
      <c r="G30" s="5">
        <v>41.2</v>
      </c>
      <c r="H30" s="5">
        <v>26.5</v>
      </c>
      <c r="I30" s="5">
        <v>13.1</v>
      </c>
      <c r="J30" s="15">
        <v>0.23</v>
      </c>
      <c r="K30" s="12">
        <v>0.98599999999999999</v>
      </c>
      <c r="L30" s="6">
        <v>1.37</v>
      </c>
      <c r="M30" s="12">
        <v>0.55500000000000005</v>
      </c>
      <c r="N30" s="12">
        <v>0.20200000000000001</v>
      </c>
      <c r="O30" s="12">
        <v>0.7</v>
      </c>
      <c r="P30" s="5">
        <v>11.5</v>
      </c>
      <c r="Q30" s="6">
        <v>1.3</v>
      </c>
    </row>
    <row r="31" spans="1:17" x14ac:dyDescent="0.25">
      <c r="A31" s="4">
        <v>1976</v>
      </c>
      <c r="B31" s="4">
        <v>16</v>
      </c>
      <c r="C31" s="4" t="s">
        <v>22</v>
      </c>
      <c r="D31" s="4">
        <v>10</v>
      </c>
      <c r="E31" s="5">
        <v>24.9</v>
      </c>
      <c r="F31" s="5">
        <v>45.2</v>
      </c>
      <c r="G31" s="5">
        <v>36.1</v>
      </c>
      <c r="H31" s="5">
        <v>22.8</v>
      </c>
      <c r="I31" s="5">
        <v>11.8</v>
      </c>
      <c r="J31" s="15">
        <v>0.182</v>
      </c>
      <c r="K31" s="12">
        <v>1.0900000000000001</v>
      </c>
      <c r="L31" s="6">
        <v>1.57</v>
      </c>
      <c r="M31" s="12">
        <v>2.17</v>
      </c>
      <c r="N31" s="12">
        <v>0.19700000000000001</v>
      </c>
      <c r="O31" s="12">
        <v>0.60199999999999998</v>
      </c>
      <c r="P31" s="5">
        <v>12.2</v>
      </c>
      <c r="Q31" s="6">
        <v>1.1200000000000001</v>
      </c>
    </row>
    <row r="32" spans="1:17" x14ac:dyDescent="0.25">
      <c r="A32" s="4">
        <v>1976</v>
      </c>
      <c r="B32" s="4">
        <v>16</v>
      </c>
      <c r="C32" s="4" t="s">
        <v>23</v>
      </c>
      <c r="D32" s="4">
        <v>1</v>
      </c>
      <c r="E32" s="5">
        <v>26.9</v>
      </c>
      <c r="F32" s="5">
        <v>48.4</v>
      </c>
      <c r="G32" s="5">
        <v>36</v>
      </c>
      <c r="H32" s="5">
        <v>22.8</v>
      </c>
      <c r="I32" s="5">
        <v>11.8</v>
      </c>
      <c r="J32" s="15">
        <v>0.15</v>
      </c>
      <c r="K32" s="12">
        <v>1.1100000000000001</v>
      </c>
      <c r="L32" s="6">
        <v>2.29</v>
      </c>
      <c r="M32" s="12">
        <v>0.82199999999999995</v>
      </c>
      <c r="N32" s="12">
        <v>0.16500000000000001</v>
      </c>
      <c r="O32" s="12">
        <v>0.755</v>
      </c>
      <c r="P32" s="5">
        <v>12.6</v>
      </c>
      <c r="Q32" s="6">
        <v>1.31</v>
      </c>
    </row>
    <row r="33" spans="1:17" x14ac:dyDescent="0.25">
      <c r="A33" s="4">
        <v>1976</v>
      </c>
      <c r="B33" s="4">
        <v>16</v>
      </c>
      <c r="C33" s="4" t="s">
        <v>23</v>
      </c>
      <c r="D33" s="4">
        <v>2</v>
      </c>
      <c r="E33" s="5">
        <v>27.1</v>
      </c>
      <c r="F33" s="5">
        <v>46.4</v>
      </c>
      <c r="G33" s="5">
        <v>42.2</v>
      </c>
      <c r="H33" s="5">
        <v>27.4</v>
      </c>
      <c r="I33" s="5">
        <v>13.5</v>
      </c>
      <c r="J33" s="15">
        <v>0.14699999999999999</v>
      </c>
      <c r="K33" s="12">
        <v>1.08</v>
      </c>
      <c r="L33" s="6">
        <v>1.57</v>
      </c>
      <c r="M33" s="12">
        <v>0.88700000000000001</v>
      </c>
      <c r="N33" s="12">
        <v>0.14499999999999999</v>
      </c>
      <c r="O33" s="12">
        <v>0.83299999999999996</v>
      </c>
      <c r="P33" s="5">
        <v>12</v>
      </c>
      <c r="Q33" s="6">
        <v>1.04</v>
      </c>
    </row>
    <row r="34" spans="1:17" x14ac:dyDescent="0.25">
      <c r="A34" s="4">
        <v>1976</v>
      </c>
      <c r="B34" s="4">
        <v>16</v>
      </c>
      <c r="C34" s="4" t="s">
        <v>23</v>
      </c>
      <c r="D34" s="4">
        <v>3</v>
      </c>
      <c r="E34" s="5">
        <v>26.1</v>
      </c>
      <c r="F34" s="5">
        <v>46.3</v>
      </c>
      <c r="G34" s="5">
        <v>35.200000000000003</v>
      </c>
      <c r="H34" s="5">
        <v>22.8</v>
      </c>
      <c r="I34" s="5">
        <v>11.1</v>
      </c>
      <c r="J34" s="15">
        <v>0.14899999999999999</v>
      </c>
      <c r="K34" s="12">
        <v>1.34</v>
      </c>
      <c r="L34" s="6">
        <v>2.0699999999999998</v>
      </c>
      <c r="M34" s="12">
        <v>0.70699999999999996</v>
      </c>
      <c r="N34" s="12">
        <v>0.19</v>
      </c>
      <c r="O34" s="12">
        <v>0.88300000000000001</v>
      </c>
      <c r="P34" s="5">
        <v>12.4</v>
      </c>
      <c r="Q34" s="6">
        <v>1.39</v>
      </c>
    </row>
    <row r="35" spans="1:17" x14ac:dyDescent="0.25">
      <c r="A35" s="4">
        <v>1976</v>
      </c>
      <c r="B35" s="4">
        <v>16</v>
      </c>
      <c r="C35" s="4" t="s">
        <v>23</v>
      </c>
      <c r="D35" s="4">
        <v>4</v>
      </c>
      <c r="E35" s="5">
        <v>22.3</v>
      </c>
      <c r="F35" s="5">
        <v>46.2</v>
      </c>
      <c r="G35" s="5">
        <v>34.200000000000003</v>
      </c>
      <c r="H35" s="5">
        <v>22.3</v>
      </c>
      <c r="I35" s="5">
        <v>10.6</v>
      </c>
      <c r="J35" s="15">
        <v>0.219</v>
      </c>
      <c r="K35" s="12">
        <v>1.44</v>
      </c>
      <c r="L35" s="6">
        <v>2.09</v>
      </c>
      <c r="M35" s="12">
        <v>0.78800000000000003</v>
      </c>
      <c r="N35" s="12">
        <v>0.183</v>
      </c>
      <c r="O35" s="12">
        <v>0.56599999999999995</v>
      </c>
      <c r="P35" s="5">
        <v>13</v>
      </c>
      <c r="Q35" s="6">
        <v>1.18</v>
      </c>
    </row>
    <row r="36" spans="1:17" x14ac:dyDescent="0.25">
      <c r="A36" s="4">
        <v>1976</v>
      </c>
      <c r="B36" s="4">
        <v>16</v>
      </c>
      <c r="C36" s="4" t="s">
        <v>23</v>
      </c>
      <c r="D36" s="4">
        <v>5</v>
      </c>
      <c r="E36" s="5">
        <v>24.4</v>
      </c>
      <c r="F36" s="5">
        <v>48.7</v>
      </c>
      <c r="G36" s="5">
        <v>34.1</v>
      </c>
      <c r="H36" s="5">
        <v>21.6</v>
      </c>
      <c r="I36" s="5">
        <v>11.3</v>
      </c>
      <c r="J36" s="15">
        <v>0.20599999999999999</v>
      </c>
      <c r="K36" s="12">
        <v>1.44</v>
      </c>
      <c r="L36" s="6">
        <v>2.62</v>
      </c>
      <c r="M36" s="12">
        <v>1.06</v>
      </c>
      <c r="N36" s="12">
        <v>0.17699999999999999</v>
      </c>
      <c r="O36" s="12">
        <v>0.81499999999999995</v>
      </c>
      <c r="P36" s="5">
        <v>13.7</v>
      </c>
      <c r="Q36" s="6">
        <v>1.38</v>
      </c>
    </row>
    <row r="37" spans="1:17" x14ac:dyDescent="0.25">
      <c r="A37" s="4">
        <v>1976</v>
      </c>
      <c r="B37" s="4">
        <v>16</v>
      </c>
      <c r="C37" s="4" t="s">
        <v>23</v>
      </c>
      <c r="D37" s="4">
        <v>6</v>
      </c>
      <c r="E37" s="5">
        <v>26.7</v>
      </c>
      <c r="F37" s="5">
        <v>46.3</v>
      </c>
      <c r="G37" s="5">
        <v>35.5</v>
      </c>
      <c r="H37" s="5">
        <v>23.2</v>
      </c>
      <c r="I37" s="5">
        <v>11.1</v>
      </c>
      <c r="J37" s="15">
        <v>0.152</v>
      </c>
      <c r="K37" s="12">
        <v>1.34</v>
      </c>
      <c r="L37" s="6">
        <v>2.52</v>
      </c>
      <c r="M37" s="12">
        <v>1.1599999999999999</v>
      </c>
      <c r="N37" s="12">
        <v>0.19500000000000001</v>
      </c>
      <c r="O37" s="12">
        <v>0.873</v>
      </c>
      <c r="P37" s="5">
        <v>12.8</v>
      </c>
      <c r="Q37" s="6">
        <v>1.18</v>
      </c>
    </row>
    <row r="38" spans="1:17" x14ac:dyDescent="0.25">
      <c r="A38" s="4">
        <v>1976</v>
      </c>
      <c r="B38" s="4">
        <v>16</v>
      </c>
      <c r="C38" s="4" t="s">
        <v>23</v>
      </c>
      <c r="D38" s="4">
        <v>7</v>
      </c>
      <c r="E38" s="5">
        <v>25.3</v>
      </c>
      <c r="F38" s="5">
        <v>48.6</v>
      </c>
      <c r="G38" s="5">
        <v>36</v>
      </c>
      <c r="H38" s="5">
        <v>23.5</v>
      </c>
      <c r="I38" s="5">
        <v>11</v>
      </c>
      <c r="J38" s="15">
        <v>0.184</v>
      </c>
      <c r="K38" s="12">
        <v>1.47</v>
      </c>
      <c r="L38" s="6">
        <v>2.15</v>
      </c>
      <c r="M38" s="12">
        <v>0.80600000000000005</v>
      </c>
      <c r="N38" s="12">
        <v>0.23100000000000001</v>
      </c>
      <c r="O38" s="12">
        <v>0.748</v>
      </c>
      <c r="P38" s="5">
        <v>12.9</v>
      </c>
      <c r="Q38" s="6">
        <v>1.53</v>
      </c>
    </row>
    <row r="39" spans="1:17" x14ac:dyDescent="0.25">
      <c r="A39" s="4">
        <v>1976</v>
      </c>
      <c r="B39" s="4">
        <v>16</v>
      </c>
      <c r="C39" s="4" t="s">
        <v>23</v>
      </c>
      <c r="D39" s="4">
        <v>8</v>
      </c>
      <c r="E39" s="5">
        <v>25.6</v>
      </c>
      <c r="F39" s="5">
        <v>48.2</v>
      </c>
      <c r="G39" s="5">
        <v>38.9</v>
      </c>
      <c r="H39" s="5">
        <v>25.5</v>
      </c>
      <c r="I39" s="5">
        <v>12.1</v>
      </c>
      <c r="J39" s="15">
        <v>0.19600000000000001</v>
      </c>
      <c r="K39" s="12">
        <v>1.4</v>
      </c>
      <c r="L39" s="6">
        <v>1.93</v>
      </c>
      <c r="M39" s="12">
        <v>0.46400000000000002</v>
      </c>
      <c r="N39" s="12">
        <v>0.111</v>
      </c>
      <c r="O39" s="12">
        <v>0.628</v>
      </c>
      <c r="P39" s="5">
        <v>12.1</v>
      </c>
      <c r="Q39" s="6">
        <v>1.27</v>
      </c>
    </row>
    <row r="40" spans="1:17" x14ac:dyDescent="0.25">
      <c r="A40" s="4">
        <v>1976</v>
      </c>
      <c r="B40" s="4">
        <v>16</v>
      </c>
      <c r="C40" s="4" t="s">
        <v>23</v>
      </c>
      <c r="D40" s="4">
        <v>9</v>
      </c>
      <c r="E40" s="5">
        <v>23.8</v>
      </c>
      <c r="F40" s="5">
        <v>46.9</v>
      </c>
      <c r="G40" s="5">
        <v>39.9</v>
      </c>
      <c r="H40" s="5">
        <v>26.5</v>
      </c>
      <c r="I40" s="5">
        <v>12.1</v>
      </c>
      <c r="J40" s="15">
        <v>0.24299999999999999</v>
      </c>
      <c r="K40" s="12">
        <v>1.5</v>
      </c>
      <c r="L40" s="6">
        <v>2.21</v>
      </c>
      <c r="M40" s="12">
        <v>1.04</v>
      </c>
      <c r="N40" s="12">
        <v>0.182</v>
      </c>
      <c r="O40" s="12">
        <v>0.71299999999999997</v>
      </c>
      <c r="P40" s="5">
        <v>12.6</v>
      </c>
      <c r="Q40" s="6">
        <v>1.17</v>
      </c>
    </row>
    <row r="41" spans="1:17" x14ac:dyDescent="0.25">
      <c r="A41" s="4">
        <v>1976</v>
      </c>
      <c r="B41" s="4">
        <v>16</v>
      </c>
      <c r="C41" s="4" t="s">
        <v>23</v>
      </c>
      <c r="D41" s="4">
        <v>10</v>
      </c>
      <c r="E41" s="5">
        <v>23.4</v>
      </c>
      <c r="F41" s="5">
        <v>44.7</v>
      </c>
      <c r="G41" s="5">
        <v>39.700000000000003</v>
      </c>
      <c r="H41" s="5">
        <v>25.9</v>
      </c>
      <c r="I41" s="5">
        <v>12.4</v>
      </c>
      <c r="J41" s="15">
        <v>0.2</v>
      </c>
      <c r="K41" s="12">
        <v>1.51</v>
      </c>
      <c r="L41" s="6">
        <v>2.2400000000000002</v>
      </c>
      <c r="M41" s="12">
        <v>0.997</v>
      </c>
      <c r="N41" s="12">
        <v>0.23899999999999999</v>
      </c>
      <c r="O41" s="12">
        <v>0.79400000000000004</v>
      </c>
      <c r="P41" s="5">
        <v>12.5</v>
      </c>
      <c r="Q41" s="6">
        <v>1.23</v>
      </c>
    </row>
    <row r="42" spans="1:17" x14ac:dyDescent="0.25">
      <c r="A42" s="4">
        <v>1976</v>
      </c>
      <c r="B42" s="4">
        <v>30</v>
      </c>
      <c r="C42" s="4" t="s">
        <v>22</v>
      </c>
      <c r="D42" s="4">
        <v>1</v>
      </c>
      <c r="E42" s="5">
        <v>22</v>
      </c>
      <c r="F42" s="5">
        <v>51.4</v>
      </c>
      <c r="G42" s="5">
        <v>36.6</v>
      </c>
      <c r="H42" s="5">
        <v>23.4</v>
      </c>
      <c r="I42" s="5">
        <v>11.9</v>
      </c>
      <c r="J42" s="15">
        <v>0.17499999999999999</v>
      </c>
      <c r="K42" s="12">
        <v>0.86099999999999999</v>
      </c>
      <c r="L42" s="6">
        <v>1.68</v>
      </c>
      <c r="M42" s="12">
        <v>0.78200000000000003</v>
      </c>
      <c r="N42" s="12">
        <v>0.16600000000000001</v>
      </c>
      <c r="O42" s="12">
        <v>0.68</v>
      </c>
      <c r="P42" s="5">
        <v>13.6</v>
      </c>
      <c r="Q42" s="6">
        <v>0.83099999999999996</v>
      </c>
    </row>
    <row r="43" spans="1:17" x14ac:dyDescent="0.25">
      <c r="A43" s="4">
        <v>1976</v>
      </c>
      <c r="B43" s="4">
        <v>30</v>
      </c>
      <c r="C43" s="4" t="s">
        <v>22</v>
      </c>
      <c r="D43" s="4">
        <v>2</v>
      </c>
      <c r="E43" s="5">
        <v>25.9</v>
      </c>
      <c r="F43" s="5">
        <v>47.1</v>
      </c>
      <c r="G43" s="5">
        <v>39.299999999999997</v>
      </c>
      <c r="H43" s="5">
        <v>23.7</v>
      </c>
      <c r="I43" s="5">
        <v>14.2</v>
      </c>
      <c r="J43" s="15">
        <v>0.19400000000000001</v>
      </c>
      <c r="K43" s="12">
        <v>0.76200000000000001</v>
      </c>
      <c r="L43" s="6">
        <v>1.7</v>
      </c>
      <c r="M43" s="12">
        <v>1.54</v>
      </c>
      <c r="N43" s="12">
        <v>0.27900000000000003</v>
      </c>
      <c r="O43" s="12">
        <v>0.745</v>
      </c>
      <c r="P43" s="5">
        <v>12.5</v>
      </c>
      <c r="Q43" s="6">
        <v>0.78100000000000003</v>
      </c>
    </row>
    <row r="44" spans="1:17" x14ac:dyDescent="0.25">
      <c r="A44" s="4">
        <v>1976</v>
      </c>
      <c r="B44" s="4">
        <v>30</v>
      </c>
      <c r="C44" s="4" t="s">
        <v>22</v>
      </c>
      <c r="D44" s="4">
        <v>3</v>
      </c>
      <c r="E44" s="5">
        <v>27.3</v>
      </c>
      <c r="F44" s="5">
        <v>48.9</v>
      </c>
      <c r="G44" s="5">
        <v>33.4</v>
      </c>
      <c r="H44" s="5">
        <v>21.2</v>
      </c>
      <c r="I44" s="5">
        <v>10.8</v>
      </c>
      <c r="J44" s="15">
        <v>0.14000000000000001</v>
      </c>
      <c r="K44" s="12">
        <v>0.86</v>
      </c>
      <c r="L44" s="6">
        <v>1.71</v>
      </c>
      <c r="M44" s="12">
        <v>0.79</v>
      </c>
      <c r="N44" s="12">
        <v>0.123</v>
      </c>
      <c r="O44" s="12">
        <v>0.53600000000000003</v>
      </c>
      <c r="P44" s="5">
        <v>14</v>
      </c>
      <c r="Q44" s="6">
        <v>0.70899999999999996</v>
      </c>
    </row>
    <row r="45" spans="1:17" x14ac:dyDescent="0.25">
      <c r="A45" s="4">
        <v>1976</v>
      </c>
      <c r="B45" s="4">
        <v>30</v>
      </c>
      <c r="C45" s="4" t="s">
        <v>22</v>
      </c>
      <c r="D45" s="4">
        <v>4</v>
      </c>
      <c r="E45" s="5">
        <v>27.1</v>
      </c>
      <c r="F45" s="5">
        <v>46.8</v>
      </c>
      <c r="G45" s="5">
        <v>36</v>
      </c>
      <c r="H45" s="5">
        <v>22.1</v>
      </c>
      <c r="I45" s="5">
        <v>12.6</v>
      </c>
      <c r="J45" s="15">
        <v>0.126</v>
      </c>
      <c r="K45" s="12">
        <v>0.78900000000000003</v>
      </c>
      <c r="L45" s="6">
        <v>1.55</v>
      </c>
      <c r="M45" s="12">
        <v>0.94099999999999995</v>
      </c>
      <c r="N45" s="12">
        <v>0.154</v>
      </c>
      <c r="O45" s="12">
        <v>0.69599999999999995</v>
      </c>
      <c r="P45" s="5">
        <v>12.7</v>
      </c>
      <c r="Q45" s="6">
        <v>0.66300000000000003</v>
      </c>
    </row>
    <row r="46" spans="1:17" x14ac:dyDescent="0.25">
      <c r="A46" s="4">
        <v>1976</v>
      </c>
      <c r="B46" s="4">
        <v>30</v>
      </c>
      <c r="C46" s="4" t="s">
        <v>22</v>
      </c>
      <c r="D46" s="4">
        <v>5</v>
      </c>
      <c r="E46" s="5">
        <v>28.9</v>
      </c>
      <c r="F46" s="5">
        <v>46.9</v>
      </c>
      <c r="G46" s="5">
        <v>23.3</v>
      </c>
      <c r="H46" s="5">
        <v>16.8</v>
      </c>
      <c r="I46" s="5">
        <v>5.09</v>
      </c>
      <c r="J46" s="15">
        <v>0.106</v>
      </c>
      <c r="K46" s="12">
        <v>0.83099999999999996</v>
      </c>
      <c r="L46" s="6">
        <v>2.63</v>
      </c>
      <c r="M46" s="12">
        <v>1.28</v>
      </c>
      <c r="N46" s="12">
        <v>0.23300000000000001</v>
      </c>
      <c r="O46" s="12">
        <v>0.60499999999999998</v>
      </c>
      <c r="P46" s="5">
        <v>18.100000000000001</v>
      </c>
      <c r="Q46" s="6">
        <v>0.85799999999999998</v>
      </c>
    </row>
    <row r="47" spans="1:17" x14ac:dyDescent="0.25">
      <c r="A47" s="4">
        <v>1976</v>
      </c>
      <c r="B47" s="4">
        <v>30</v>
      </c>
      <c r="C47" s="4" t="s">
        <v>23</v>
      </c>
      <c r="D47" s="4">
        <v>1</v>
      </c>
      <c r="E47" s="5">
        <v>25.9</v>
      </c>
      <c r="F47" s="5">
        <v>47</v>
      </c>
      <c r="G47" s="5">
        <v>38.299999999999997</v>
      </c>
      <c r="H47" s="5">
        <v>23.7</v>
      </c>
      <c r="I47" s="5">
        <v>13</v>
      </c>
      <c r="J47" s="15">
        <v>0.22900000000000001</v>
      </c>
      <c r="K47" s="12">
        <v>1.44</v>
      </c>
      <c r="L47" s="6">
        <v>1.84</v>
      </c>
      <c r="M47" s="12">
        <v>1.67</v>
      </c>
      <c r="N47" s="12">
        <v>0.154</v>
      </c>
      <c r="O47" s="12">
        <v>0.71499999999999997</v>
      </c>
      <c r="P47" s="5">
        <v>11.9</v>
      </c>
      <c r="Q47" s="6">
        <v>0.70599999999999996</v>
      </c>
    </row>
    <row r="48" spans="1:17" x14ac:dyDescent="0.25">
      <c r="A48" s="4">
        <v>1976</v>
      </c>
      <c r="B48" s="4">
        <v>30</v>
      </c>
      <c r="C48" s="4" t="s">
        <v>23</v>
      </c>
      <c r="D48" s="4">
        <v>2</v>
      </c>
      <c r="E48" s="5">
        <v>32.9</v>
      </c>
      <c r="F48" s="5">
        <v>42.4</v>
      </c>
      <c r="G48" s="5">
        <v>27.7</v>
      </c>
      <c r="H48" s="5">
        <v>16.8</v>
      </c>
      <c r="I48" s="5">
        <v>9.67</v>
      </c>
      <c r="J48" s="15">
        <v>0.13400000000000001</v>
      </c>
      <c r="K48" s="12">
        <v>1.33</v>
      </c>
      <c r="L48" s="6">
        <v>2.4700000000000002</v>
      </c>
      <c r="M48" s="12">
        <v>1.66</v>
      </c>
      <c r="N48" s="12">
        <v>0.16400000000000001</v>
      </c>
      <c r="O48" s="12">
        <v>0.70599999999999996</v>
      </c>
      <c r="P48" s="5">
        <v>13.8</v>
      </c>
      <c r="Q48" s="6">
        <v>0.57399999999999995</v>
      </c>
    </row>
    <row r="49" spans="1:17" x14ac:dyDescent="0.25">
      <c r="A49" s="4">
        <v>1976</v>
      </c>
      <c r="B49" s="4">
        <v>30</v>
      </c>
      <c r="C49" s="4" t="s">
        <v>23</v>
      </c>
      <c r="D49" s="4">
        <v>3</v>
      </c>
      <c r="E49" s="5">
        <v>29.4</v>
      </c>
      <c r="F49" s="5">
        <v>45.5</v>
      </c>
      <c r="G49" s="5">
        <v>36.9</v>
      </c>
      <c r="H49" s="5">
        <v>23.8</v>
      </c>
      <c r="I49" s="5">
        <v>11.4</v>
      </c>
      <c r="J49" s="15">
        <v>0.251</v>
      </c>
      <c r="K49" s="12">
        <v>1.27</v>
      </c>
      <c r="L49" s="6">
        <v>1.93</v>
      </c>
      <c r="M49" s="12">
        <v>0.84299999999999997</v>
      </c>
      <c r="N49" s="12">
        <v>0.151</v>
      </c>
      <c r="O49" s="12">
        <v>0.745</v>
      </c>
      <c r="P49" s="5">
        <v>14.7</v>
      </c>
      <c r="Q49" s="6">
        <v>0.57099999999999995</v>
      </c>
    </row>
    <row r="50" spans="1:17" x14ac:dyDescent="0.25">
      <c r="A50" s="4">
        <v>1976</v>
      </c>
      <c r="B50" s="4">
        <v>30</v>
      </c>
      <c r="C50" s="4" t="s">
        <v>23</v>
      </c>
      <c r="D50" s="4">
        <v>4</v>
      </c>
      <c r="E50" s="5">
        <v>25.8</v>
      </c>
      <c r="F50" s="5">
        <v>49.6</v>
      </c>
      <c r="G50" s="5">
        <v>36.200000000000003</v>
      </c>
      <c r="H50" s="5">
        <v>21.8</v>
      </c>
      <c r="I50" s="5">
        <v>13</v>
      </c>
      <c r="J50" s="15">
        <v>0.214</v>
      </c>
      <c r="K50" s="12">
        <v>1.1499999999999999</v>
      </c>
      <c r="L50" s="6">
        <v>1.79</v>
      </c>
      <c r="M50" s="12">
        <v>1.1000000000000001</v>
      </c>
      <c r="N50" s="12">
        <v>0.124</v>
      </c>
      <c r="O50" s="12">
        <v>0.88900000000000001</v>
      </c>
      <c r="P50" s="5">
        <v>12.9</v>
      </c>
      <c r="Q50" s="6">
        <v>0.66500000000000004</v>
      </c>
    </row>
    <row r="51" spans="1:17" x14ac:dyDescent="0.25">
      <c r="A51" s="4">
        <v>1976</v>
      </c>
      <c r="B51" s="4">
        <v>30</v>
      </c>
      <c r="C51" s="4" t="s">
        <v>23</v>
      </c>
      <c r="D51" s="4">
        <v>5</v>
      </c>
      <c r="E51" s="5">
        <v>28.5</v>
      </c>
      <c r="F51" s="5">
        <v>49.1</v>
      </c>
      <c r="G51" s="5">
        <v>35.5</v>
      </c>
      <c r="H51" s="5">
        <v>23.1</v>
      </c>
      <c r="I51" s="5">
        <v>11.2</v>
      </c>
      <c r="J51" s="15">
        <v>0.20799999999999999</v>
      </c>
      <c r="K51" s="12">
        <v>1.38</v>
      </c>
      <c r="L51" s="6">
        <v>1.86</v>
      </c>
      <c r="M51" s="12">
        <v>0.91900000000000004</v>
      </c>
      <c r="N51" s="12">
        <v>9.4500000000000001E-2</v>
      </c>
      <c r="O51" s="12">
        <v>0.68500000000000005</v>
      </c>
      <c r="P51" s="5">
        <v>14</v>
      </c>
      <c r="Q51" s="6">
        <v>0.67600000000000005</v>
      </c>
    </row>
    <row r="52" spans="1:17" x14ac:dyDescent="0.25">
      <c r="A52" s="4">
        <v>1976</v>
      </c>
      <c r="B52" s="4">
        <v>30</v>
      </c>
      <c r="C52" s="4" t="s">
        <v>23</v>
      </c>
      <c r="D52" s="4">
        <v>6</v>
      </c>
      <c r="E52" s="5">
        <v>27.4</v>
      </c>
      <c r="F52" s="5">
        <v>44.2</v>
      </c>
      <c r="G52" s="5">
        <v>44.1</v>
      </c>
      <c r="H52" s="5">
        <v>28.3</v>
      </c>
      <c r="I52" s="5">
        <v>14.3</v>
      </c>
      <c r="J52" s="15">
        <v>0.224</v>
      </c>
      <c r="K52" s="12">
        <v>1.1100000000000001</v>
      </c>
      <c r="L52" s="6">
        <v>1.59</v>
      </c>
      <c r="M52" s="12">
        <v>1.06</v>
      </c>
      <c r="N52" s="12">
        <v>0.122</v>
      </c>
      <c r="O52" s="12">
        <v>0.72899999999999998</v>
      </c>
      <c r="P52" s="5">
        <v>11.1</v>
      </c>
      <c r="Q52" s="6">
        <v>0.61899999999999999</v>
      </c>
    </row>
    <row r="53" spans="1:17" x14ac:dyDescent="0.25">
      <c r="A53" s="4">
        <v>1976</v>
      </c>
      <c r="B53" s="4">
        <v>30</v>
      </c>
      <c r="C53" s="4" t="s">
        <v>23</v>
      </c>
      <c r="D53" s="4">
        <v>7</v>
      </c>
      <c r="E53" s="5">
        <v>33</v>
      </c>
      <c r="F53" s="5">
        <v>43.1</v>
      </c>
      <c r="G53" s="5">
        <v>37.5</v>
      </c>
      <c r="H53" s="5">
        <v>24.4</v>
      </c>
      <c r="I53" s="5">
        <v>11.9</v>
      </c>
      <c r="J53" s="15">
        <v>0.245</v>
      </c>
      <c r="K53" s="12">
        <v>1.1200000000000001</v>
      </c>
      <c r="L53" s="6">
        <v>2.11</v>
      </c>
      <c r="M53" s="12">
        <v>2.3199999999999998</v>
      </c>
      <c r="N53" s="12">
        <v>0.16600000000000001</v>
      </c>
      <c r="O53" s="12">
        <v>0.51800000000000002</v>
      </c>
      <c r="P53" s="5">
        <v>15.4</v>
      </c>
      <c r="Q53" s="6">
        <v>0.75700000000000001</v>
      </c>
    </row>
    <row r="54" spans="1:17" x14ac:dyDescent="0.25">
      <c r="A54" s="4">
        <v>1976</v>
      </c>
      <c r="B54" s="4">
        <v>30</v>
      </c>
      <c r="C54" s="4" t="s">
        <v>23</v>
      </c>
      <c r="D54" s="4">
        <v>8</v>
      </c>
      <c r="E54" s="5">
        <v>23.5</v>
      </c>
      <c r="F54" s="5">
        <v>42.9</v>
      </c>
      <c r="G54" s="5">
        <v>44.6</v>
      </c>
      <c r="H54" s="5">
        <v>29.8</v>
      </c>
      <c r="I54" s="5">
        <v>13.4</v>
      </c>
      <c r="J54" s="15">
        <v>0.28100000000000003</v>
      </c>
      <c r="K54" s="12">
        <v>1.2</v>
      </c>
      <c r="L54" s="6">
        <v>1.94</v>
      </c>
      <c r="M54" s="12">
        <v>1.21</v>
      </c>
      <c r="N54" s="12">
        <v>0.14899999999999999</v>
      </c>
      <c r="O54" s="12">
        <v>0.63600000000000001</v>
      </c>
      <c r="P54" s="5">
        <v>13.4</v>
      </c>
      <c r="Q54" s="6">
        <v>0.75700000000000001</v>
      </c>
    </row>
    <row r="55" spans="1:17" x14ac:dyDescent="0.25">
      <c r="A55" s="4">
        <v>1976</v>
      </c>
      <c r="B55" s="4">
        <v>30</v>
      </c>
      <c r="C55" s="4" t="s">
        <v>23</v>
      </c>
      <c r="D55" s="4">
        <v>9</v>
      </c>
      <c r="E55" s="5">
        <v>21.2</v>
      </c>
      <c r="F55" s="5">
        <v>45.1</v>
      </c>
      <c r="G55" s="5">
        <v>42.7</v>
      </c>
      <c r="H55" s="5">
        <v>27.4</v>
      </c>
      <c r="I55" s="5">
        <v>14</v>
      </c>
      <c r="J55" s="15">
        <v>0.23799999999999999</v>
      </c>
      <c r="K55" s="12">
        <v>1.31</v>
      </c>
      <c r="L55" s="6">
        <v>1.58</v>
      </c>
      <c r="M55" s="12">
        <v>1.19</v>
      </c>
      <c r="N55" s="12">
        <v>0.11700000000000001</v>
      </c>
      <c r="O55" s="12">
        <v>0.71199999999999997</v>
      </c>
      <c r="P55" s="5">
        <v>12.4</v>
      </c>
      <c r="Q55" s="6">
        <v>0.90400000000000003</v>
      </c>
    </row>
    <row r="56" spans="1:17" x14ac:dyDescent="0.25">
      <c r="A56" s="4">
        <v>1976</v>
      </c>
      <c r="B56" s="4">
        <v>30</v>
      </c>
      <c r="C56" s="4" t="s">
        <v>23</v>
      </c>
      <c r="D56" s="4">
        <v>10</v>
      </c>
      <c r="E56" s="5">
        <v>20.9</v>
      </c>
      <c r="F56" s="5">
        <v>41.6</v>
      </c>
      <c r="G56" s="5">
        <v>47.5</v>
      </c>
      <c r="H56" s="5">
        <v>30.9</v>
      </c>
      <c r="I56" s="5">
        <v>15.2</v>
      </c>
      <c r="J56" s="15">
        <v>0.27700000000000002</v>
      </c>
      <c r="K56" s="12">
        <v>1.52</v>
      </c>
      <c r="L56" s="6">
        <v>1.78</v>
      </c>
      <c r="M56" s="12">
        <v>0.79400000000000004</v>
      </c>
      <c r="N56" s="12">
        <v>0.154</v>
      </c>
      <c r="O56" s="12">
        <v>0.56000000000000005</v>
      </c>
      <c r="P56" s="5">
        <v>12.8</v>
      </c>
      <c r="Q56" s="6">
        <v>0.72899999999999998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Body Weight</vt:lpstr>
      <vt:lpstr>Blood Glucose</vt:lpstr>
      <vt:lpstr>Clinical chemistry</vt:lpstr>
      <vt:lpstr>Hematology</vt:lpstr>
      <vt:lpstr>DXA</vt:lpstr>
      <vt:lpstr>Spleen - Flow Cytometry</vt:lpstr>
    </vt:vector>
  </TitlesOfParts>
  <Company>The Jackson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Schile</dc:creator>
  <cp:lastModifiedBy>Krushanu Patki</cp:lastModifiedBy>
  <dcterms:created xsi:type="dcterms:W3CDTF">2017-04-27T20:37:04Z</dcterms:created>
  <dcterms:modified xsi:type="dcterms:W3CDTF">2026-03-07T06:35:22Z</dcterms:modified>
</cp:coreProperties>
</file>